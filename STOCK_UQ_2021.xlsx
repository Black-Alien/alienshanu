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Drive\ZDG 2021\FILES\"/>
    </mc:Choice>
  </mc:AlternateContent>
  <xr:revisionPtr revIDLastSave="0" documentId="10_ncr:8100000_{3E962AC0-02EF-4F71-BA31-7E12797D56BA}" xr6:coauthVersionLast="34" xr6:coauthVersionMax="45" xr10:uidLastSave="{00000000-0000-0000-0000-000000000000}"/>
  <bookViews>
    <workbookView xWindow="-120" yWindow="-120" windowWidth="20736" windowHeight="11316" activeTab="3" xr2:uid="{2334EB39-F27E-4C0C-BA60-7A2C5791A1CF}"/>
  </bookViews>
  <sheets>
    <sheet name="JAN " sheetId="6" r:id="rId1"/>
    <sheet name="FEB" sheetId="7" r:id="rId2"/>
    <sheet name="MAR" sheetId="8" r:id="rId3"/>
    <sheet name="APR" sheetId="9" r:id="rId4"/>
  </sheets>
  <externalReferences>
    <externalReference r:id="rId5"/>
  </externalReferences>
  <definedNames>
    <definedName name="_111" localSheetId="3">#REF!</definedName>
    <definedName name="_111" localSheetId="1">#REF!</definedName>
    <definedName name="_111" localSheetId="0">#REF!</definedName>
    <definedName name="_111" localSheetId="2">#REF!</definedName>
    <definedName name="_111">#REF!</definedName>
    <definedName name="ColumnTitle1" localSheetId="3">#REF!</definedName>
    <definedName name="ColumnTitle1" localSheetId="1">#REF!</definedName>
    <definedName name="ColumnTitle1" localSheetId="0">#REF!</definedName>
    <definedName name="ColumnTitle1" localSheetId="2">#REF!</definedName>
    <definedName name="ColumnTitle1">#REF!</definedName>
    <definedName name="ColumnTitleRegion1..D10.1" localSheetId="3">#REF!</definedName>
    <definedName name="ColumnTitleRegion1..D10.1" localSheetId="1">#REF!</definedName>
    <definedName name="ColumnTitleRegion1..D10.1" localSheetId="0">#REF!</definedName>
    <definedName name="ColumnTitleRegion1..D10.1" localSheetId="2">#REF!</definedName>
    <definedName name="ColumnTitleRegion1..D10.1">#REF!</definedName>
    <definedName name="ColumnTitleRegion2..D12.1" localSheetId="3">#REF!</definedName>
    <definedName name="ColumnTitleRegion2..D12.1" localSheetId="1">#REF!</definedName>
    <definedName name="ColumnTitleRegion2..D12.1" localSheetId="0">#REF!</definedName>
    <definedName name="ColumnTitleRegion2..D12.1" localSheetId="2">#REF!</definedName>
    <definedName name="ColumnTitleRegion2..D12.1">#REF!</definedName>
    <definedName name="Company_Name" localSheetId="3">#REF!</definedName>
    <definedName name="Company_Name" localSheetId="1">#REF!</definedName>
    <definedName name="Company_Name" localSheetId="0">#REF!</definedName>
    <definedName name="Company_Name" localSheetId="2">#REF!</definedName>
    <definedName name="Company_Name">#REF!</definedName>
    <definedName name="DD" localSheetId="3">#REF!</definedName>
    <definedName name="DD" localSheetId="1">#REF!</definedName>
    <definedName name="DD" localSheetId="0">#REF!</definedName>
    <definedName name="DD" localSheetId="2">#REF!</definedName>
    <definedName name="DD">#REF!</definedName>
    <definedName name="Items">[1]Sheet8!$B$7:$B$29</definedName>
    <definedName name="jan_19" localSheetId="3">#REF!</definedName>
    <definedName name="jan_19" localSheetId="1">#REF!</definedName>
    <definedName name="jan_19" localSheetId="0">#REF!</definedName>
    <definedName name="jan_19" localSheetId="2">#REF!</definedName>
    <definedName name="jan_19">#REF!</definedName>
    <definedName name="NativeTimeline_Delivery_Date">#N/A</definedName>
    <definedName name="RowTitleRegion1..D4.1" localSheetId="3">#REF!</definedName>
    <definedName name="RowTitleRegion1..D4.1" localSheetId="1">#REF!</definedName>
    <definedName name="RowTitleRegion1..D4.1" localSheetId="0">#REF!</definedName>
    <definedName name="RowTitleRegion1..D4.1" localSheetId="2">#REF!</definedName>
    <definedName name="RowTitleRegion1..D4.1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9" l="1"/>
  <c r="G28" i="9"/>
  <c r="E12" i="9"/>
  <c r="E13" i="9"/>
  <c r="G13" i="9" s="1"/>
  <c r="G50" i="9"/>
  <c r="E53" i="9"/>
  <c r="G51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0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2" i="9"/>
  <c r="G11" i="9"/>
  <c r="G10" i="9"/>
  <c r="G6" i="9"/>
  <c r="G52" i="9" l="1"/>
  <c r="G31" i="9"/>
  <c r="E17" i="8"/>
  <c r="G17" i="8" s="1"/>
  <c r="E14" i="8"/>
  <c r="G14" i="8" s="1"/>
  <c r="E12" i="8"/>
  <c r="G12" i="8" s="1"/>
  <c r="E13" i="8"/>
  <c r="G13" i="8" s="1"/>
  <c r="E10" i="8"/>
  <c r="E50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28" i="8"/>
  <c r="G27" i="8"/>
  <c r="G26" i="8"/>
  <c r="G25" i="8"/>
  <c r="G24" i="8"/>
  <c r="G23" i="8"/>
  <c r="G22" i="8"/>
  <c r="G21" i="8"/>
  <c r="G20" i="8"/>
  <c r="G19" i="8"/>
  <c r="G18" i="8"/>
  <c r="G16" i="8"/>
  <c r="G15" i="8"/>
  <c r="G11" i="8"/>
  <c r="G10" i="8"/>
  <c r="G6" i="8"/>
  <c r="G25" i="7"/>
  <c r="G26" i="7"/>
  <c r="G27" i="7"/>
  <c r="E18" i="7"/>
  <c r="G18" i="7" s="1"/>
  <c r="E17" i="7"/>
  <c r="G17" i="7" s="1"/>
  <c r="E16" i="7"/>
  <c r="G16" i="7" s="1"/>
  <c r="E15" i="7"/>
  <c r="G15" i="7" s="1"/>
  <c r="E12" i="7"/>
  <c r="E13" i="7"/>
  <c r="G13" i="7" s="1"/>
  <c r="E50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28" i="7"/>
  <c r="G24" i="7"/>
  <c r="G23" i="7"/>
  <c r="G22" i="7"/>
  <c r="G21" i="7"/>
  <c r="G20" i="7"/>
  <c r="G19" i="7"/>
  <c r="G14" i="7"/>
  <c r="G12" i="7"/>
  <c r="G11" i="7"/>
  <c r="G10" i="7"/>
  <c r="G6" i="7"/>
  <c r="F61" i="9" l="1"/>
  <c r="G49" i="8"/>
  <c r="G29" i="8"/>
  <c r="G49" i="7"/>
  <c r="G29" i="7"/>
  <c r="E22" i="6"/>
  <c r="E13" i="6"/>
  <c r="G21" i="6"/>
  <c r="E14" i="6"/>
  <c r="E12" i="6"/>
  <c r="E11" i="6"/>
  <c r="F58" i="8" l="1"/>
  <c r="F58" i="7"/>
  <c r="G22" i="6"/>
  <c r="G16" i="6"/>
  <c r="G17" i="6"/>
  <c r="G12" i="6"/>
  <c r="G11" i="6"/>
  <c r="G13" i="6"/>
  <c r="E47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5" i="6"/>
  <c r="G24" i="6"/>
  <c r="G23" i="6"/>
  <c r="G20" i="6"/>
  <c r="G19" i="6"/>
  <c r="G18" i="6"/>
  <c r="G15" i="6"/>
  <c r="G14" i="6"/>
  <c r="G10" i="6"/>
  <c r="G6" i="6"/>
  <c r="G46" i="6" l="1"/>
  <c r="G26" i="6"/>
  <c r="F55" i="6" l="1"/>
</calcChain>
</file>

<file path=xl/sharedStrings.xml><?xml version="1.0" encoding="utf-8"?>
<sst xmlns="http://schemas.openxmlformats.org/spreadsheetml/2006/main" count="380" uniqueCount="58">
  <si>
    <t>ZERO DEGREE GELATO</t>
  </si>
  <si>
    <t>Daily Closing Report</t>
  </si>
  <si>
    <t>Date</t>
  </si>
  <si>
    <t>ICE CREAMS</t>
  </si>
  <si>
    <t xml:space="preserve">PAST STOCK </t>
  </si>
  <si>
    <t>NOW STOCK</t>
  </si>
  <si>
    <t>AMOUNT</t>
  </si>
  <si>
    <t>MINI ITEMS</t>
  </si>
  <si>
    <t>ITEMS</t>
  </si>
  <si>
    <t>QTY</t>
  </si>
  <si>
    <t>RATE</t>
  </si>
  <si>
    <t>MINI CORN</t>
  </si>
  <si>
    <t>PCS</t>
  </si>
  <si>
    <t>MINI COOKIES</t>
  </si>
  <si>
    <t>MINI ÉCLAIR</t>
  </si>
  <si>
    <t>MINI STICK</t>
  </si>
  <si>
    <t>MACRON ICE</t>
  </si>
  <si>
    <t>MILFI</t>
  </si>
  <si>
    <t>ÉCLAIR HALA</t>
  </si>
  <si>
    <t>MACRON HALA</t>
  </si>
  <si>
    <t>SLICE CAKE</t>
  </si>
  <si>
    <t>CUP CAKE BIG</t>
  </si>
  <si>
    <t>CUP CAKE SMALL</t>
  </si>
  <si>
    <t>CHOCOLATE</t>
  </si>
  <si>
    <t>KG</t>
  </si>
  <si>
    <t>CHOCOLATE LOTUS TRAY</t>
  </si>
  <si>
    <t>CHOCOLATE ROUND WOOD</t>
  </si>
  <si>
    <t>TOTAL</t>
  </si>
  <si>
    <t>ICE CREAM CAKES</t>
  </si>
  <si>
    <t>Rafaello (S)</t>
  </si>
  <si>
    <t>Strawberry  (S)</t>
  </si>
  <si>
    <t>Cheese Bluberry</t>
  </si>
  <si>
    <t>Yoghurt  (S)</t>
  </si>
  <si>
    <t>Red Welvet (S)</t>
  </si>
  <si>
    <t>Mango (S)</t>
  </si>
  <si>
    <t>Cappucino (S)</t>
  </si>
  <si>
    <t>Ferrero (S)</t>
  </si>
  <si>
    <t>Caramel</t>
  </si>
  <si>
    <t>Lotus  (S)</t>
  </si>
  <si>
    <t>Cookies (M)</t>
  </si>
  <si>
    <t>Pistachio (M)</t>
  </si>
  <si>
    <t>Red Welvet (B)</t>
  </si>
  <si>
    <t>Ferrero (B)</t>
  </si>
  <si>
    <t>Lotus (B)</t>
  </si>
  <si>
    <t>SP CAKE 120 SR</t>
  </si>
  <si>
    <t>GIFT AND TASTE</t>
  </si>
  <si>
    <t>ICE CREAM TASTE FOR SALE</t>
  </si>
  <si>
    <t>TASTE AND GIFT FOR ORDER</t>
  </si>
  <si>
    <t>GRAND TOTAL</t>
  </si>
  <si>
    <t>BUTTER FLY TRAY CHOCOLATE</t>
  </si>
  <si>
    <t>Hilal SFC Cake</t>
  </si>
  <si>
    <t>DATE CAKE</t>
  </si>
  <si>
    <t>GOLDEN ROUND BIG</t>
  </si>
  <si>
    <t>GOLDEN ROUND MEDIUM</t>
  </si>
  <si>
    <t>GOLDEN ROUND SMALL</t>
  </si>
  <si>
    <t>Ramadan Cake</t>
  </si>
  <si>
    <t>BOW TRAY</t>
  </si>
  <si>
    <t>OTHER RAMADAN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</si>
</sst>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SAR]\ #,##0"/>
    <numFmt numFmtId="166" formatCode="[$-409]d/mmm/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5" xfId="0" applyFont="1" applyBorder="1"/>
    <xf numFmtId="0" fontId="3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12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19" xfId="0" applyFont="1" applyBorder="1"/>
    <xf numFmtId="0" fontId="4" fillId="0" borderId="19" xfId="0" applyFont="1" applyBorder="1" applyAlignment="1">
      <alignment horizontal="center" vertical="center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>
      <alignment horizontal="center" vertical="center"/>
    </xf>
    <xf numFmtId="0" fontId="5" fillId="0" borderId="22" xfId="0" applyFont="1" applyBorder="1"/>
    <xf numFmtId="0" fontId="4" fillId="0" borderId="22" xfId="0" applyFont="1" applyBorder="1" applyAlignment="1">
      <alignment horizontal="center" vertical="center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/>
    </xf>
    <xf numFmtId="0" fontId="5" fillId="0" borderId="25" xfId="0" applyFont="1" applyBorder="1"/>
    <xf numFmtId="0" fontId="4" fillId="0" borderId="25" xfId="0" applyFont="1" applyBorder="1" applyAlignment="1">
      <alignment horizontal="center" vertical="center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31" xfId="0" applyFont="1" applyBorder="1"/>
    <xf numFmtId="0" fontId="4" fillId="0" borderId="31" xfId="0" applyFont="1" applyBorder="1" applyAlignment="1">
      <alignment horizontal="center" vertical="center"/>
    </xf>
    <xf numFmtId="0" fontId="13" fillId="0" borderId="0" xfId="0" applyFont="1"/>
    <xf numFmtId="0" fontId="16" fillId="6" borderId="27" xfId="0" applyFont="1" applyFill="1" applyBorder="1" applyAlignment="1" applyProtection="1">
      <alignment horizontal="center" vertical="center"/>
      <protection locked="0"/>
    </xf>
    <xf numFmtId="0" fontId="17" fillId="6" borderId="16" xfId="0" applyFont="1" applyFill="1" applyBorder="1" applyAlignment="1">
      <alignment horizontal="center" vertical="center"/>
    </xf>
    <xf numFmtId="0" fontId="5" fillId="0" borderId="41" xfId="0" applyFont="1" applyBorder="1"/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164" fontId="5" fillId="0" borderId="11" xfId="0" applyNumberFormat="1" applyFont="1" applyBorder="1" applyAlignment="1">
      <alignment vertical="center"/>
    </xf>
    <xf numFmtId="166" fontId="5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5" fillId="5" borderId="7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 applyProtection="1">
      <alignment horizontal="right" vertical="center"/>
      <protection locked="0"/>
    </xf>
    <xf numFmtId="0" fontId="1" fillId="0" borderId="2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32" xfId="0" applyFont="1" applyBorder="1" applyAlignment="1" applyProtection="1">
      <alignment horizontal="right" vertical="center"/>
      <protection locked="0"/>
    </xf>
    <xf numFmtId="0" fontId="13" fillId="0" borderId="30" xfId="0" applyFont="1" applyBorder="1" applyAlignment="1">
      <alignment horizontal="right" vertical="center"/>
    </xf>
    <xf numFmtId="0" fontId="13" fillId="0" borderId="31" xfId="0" applyFont="1" applyBorder="1" applyAlignment="1">
      <alignment horizontal="right"/>
    </xf>
    <xf numFmtId="165" fontId="14" fillId="3" borderId="33" xfId="0" applyNumberFormat="1" applyFont="1" applyFill="1" applyBorder="1" applyAlignment="1">
      <alignment horizontal="center" vertical="center"/>
    </xf>
    <xf numFmtId="165" fontId="14" fillId="3" borderId="4" xfId="0" applyNumberFormat="1" applyFont="1" applyFill="1" applyBorder="1" applyAlignment="1">
      <alignment horizontal="center" vertical="center"/>
    </xf>
    <xf numFmtId="165" fontId="14" fillId="3" borderId="5" xfId="0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locked="0"/>
    </xf>
    <xf numFmtId="165" fontId="5" fillId="2" borderId="19" xfId="0" applyNumberFormat="1" applyFont="1" applyFill="1" applyBorder="1" applyAlignment="1" applyProtection="1">
      <alignment horizontal="center"/>
      <protection locked="0"/>
    </xf>
    <xf numFmtId="165" fontId="5" fillId="2" borderId="20" xfId="0" applyNumberFormat="1" applyFont="1" applyFill="1" applyBorder="1" applyAlignment="1" applyProtection="1">
      <alignment horizontal="center"/>
      <protection locked="0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165" fontId="5" fillId="2" borderId="25" xfId="0" applyNumberFormat="1" applyFont="1" applyFill="1" applyBorder="1" applyAlignment="1" applyProtection="1">
      <alignment horizontal="center"/>
      <protection locked="0"/>
    </xf>
    <xf numFmtId="165" fontId="5" fillId="2" borderId="26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34" xfId="0" applyFont="1" applyBorder="1" applyAlignment="1" applyProtection="1">
      <alignment horizontal="left" vertical="center"/>
      <protection locked="0"/>
    </xf>
    <xf numFmtId="0" fontId="2" fillId="0" borderId="35" xfId="0" applyFont="1" applyBorder="1" applyAlignment="1" applyProtection="1">
      <alignment horizontal="left" vertical="center" wrapText="1"/>
      <protection locked="0"/>
    </xf>
    <xf numFmtId="0" fontId="2" fillId="0" borderId="36" xfId="0" applyFont="1" applyBorder="1" applyAlignment="1" applyProtection="1">
      <alignment horizontal="left" vertical="center" wrapText="1"/>
      <protection locked="0"/>
    </xf>
    <xf numFmtId="0" fontId="2" fillId="0" borderId="37" xfId="0" applyFont="1" applyBorder="1" applyAlignment="1" applyProtection="1">
      <alignment horizontal="left" vertical="center" wrapText="1"/>
      <protection locked="0"/>
    </xf>
    <xf numFmtId="165" fontId="2" fillId="0" borderId="38" xfId="0" applyNumberFormat="1" applyFont="1" applyBorder="1" applyAlignment="1" applyProtection="1">
      <alignment horizontal="left" vertical="center"/>
      <protection locked="0"/>
    </xf>
    <xf numFmtId="0" fontId="2" fillId="0" borderId="39" xfId="0" applyFont="1" applyBorder="1" applyAlignment="1" applyProtection="1">
      <alignment horizontal="left" vertical="center"/>
      <protection locked="0"/>
    </xf>
    <xf numFmtId="0" fontId="2" fillId="0" borderId="40" xfId="0" applyFont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Padang_ZeroDegree\Zero%20Degree%20Gelato%20Ice%20Cream\Zero_Degree_Gelato_Ice_Cream\Ice%20Cream%20Orders%20-%20All%20in%20One\Upcoming%20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coming List OLD"/>
      <sheetName val="Upcoming Orders"/>
      <sheetName val="Sheet1 (4)"/>
      <sheetName val="SO-FORMAT (2)"/>
      <sheetName val="Master List- Upcoming Orders"/>
      <sheetName val="CHANGE ORDER LIST"/>
      <sheetName val="14"/>
      <sheetName val="14-17"/>
      <sheetName val="18-30"/>
      <sheetName val="AUG 2018"/>
      <sheetName val="FAZAL&amp;RAFEEQ"/>
      <sheetName val="Sheet3"/>
      <sheetName val="working"/>
      <sheetName val="MAR 01-16 paid list"/>
      <sheetName val="Sheet2"/>
      <sheetName val="Sheet1"/>
      <sheetName val="Sheet1 (2)"/>
      <sheetName val="1"/>
      <sheetName val="10-16"/>
      <sheetName val="18.01.2018-1"/>
      <sheetName val="19.01.2018"/>
      <sheetName val="Sheet4"/>
      <sheetName val="SORT"/>
      <sheetName val="RAFEEQ"/>
      <sheetName val="Sheet5"/>
      <sheetName val="Sheet6"/>
      <sheetName val="Sheet7"/>
      <sheetName val="Sheet1 (3)"/>
      <sheetName val="Sheet11"/>
      <sheetName val="Sheet8"/>
      <sheetName val="AUG 18"/>
      <sheetName val="SEP 18"/>
      <sheetName val="OCT 18"/>
      <sheetName val="NOV 18"/>
      <sheetName val="DEC 18"/>
      <sheetName val="JAN 19"/>
      <sheetName val="FEB 19"/>
      <sheetName val="MAR19"/>
      <sheetName val="APR 19"/>
      <sheetName val="MAY 19"/>
      <sheetName val="JUNE 19"/>
      <sheetName val="JULY 19"/>
      <sheetName val="SO-FORMAT"/>
      <sheetName val="Sheet9"/>
      <sheetName val="City Wise"/>
      <sheetName val="Sheet10"/>
      <sheetName val="Location Wise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7">
          <cell r="B7" t="str">
            <v>Mini Stick 8 Pcs / Box</v>
          </cell>
        </row>
        <row r="8">
          <cell r="B8" t="str">
            <v>Mini Stick 54 Pcs / Box</v>
          </cell>
        </row>
        <row r="9">
          <cell r="B9" t="str">
            <v>Mini Stick 66 Pcs / Box</v>
          </cell>
        </row>
        <row r="10">
          <cell r="B10" t="str">
            <v>Mini Cone 12 Pcs / Box</v>
          </cell>
        </row>
        <row r="11">
          <cell r="B11" t="str">
            <v>Mini Cone 60 Pcs / Box</v>
          </cell>
        </row>
        <row r="12">
          <cell r="B12" t="str">
            <v>Mini Cone 70 Pcs / Box</v>
          </cell>
        </row>
        <row r="13">
          <cell r="B13" t="str">
            <v>Mini Éclair 84 Pcs / Tray</v>
          </cell>
        </row>
        <row r="14">
          <cell r="B14" t="str">
            <v>Mini Éclair 84 Pcs / Tray + Name</v>
          </cell>
        </row>
        <row r="15">
          <cell r="B15" t="str">
            <v>Mini Éclair 30 Pcs / Box</v>
          </cell>
        </row>
        <row r="16">
          <cell r="B16" t="str">
            <v>Mini Éclair 30 Pcs / Box + Name</v>
          </cell>
        </row>
        <row r="17">
          <cell r="B17" t="str">
            <v xml:space="preserve">Mini Éclair 8 Pcs / Box </v>
          </cell>
        </row>
        <row r="18">
          <cell r="B18" t="str">
            <v>Mini Cup Cookies 8 Pcs/Box</v>
          </cell>
        </row>
        <row r="19">
          <cell r="B19" t="str">
            <v>Mini Cup Cookies 45 Pcs/Tray</v>
          </cell>
        </row>
        <row r="20">
          <cell r="B20" t="str">
            <v>Macaron Ice Cream 8 Pcs/Box</v>
          </cell>
        </row>
        <row r="21">
          <cell r="B21" t="str">
            <v>Macaron Ice Cream 45 Pcs/Tray</v>
          </cell>
        </row>
        <row r="22">
          <cell r="B22" t="str">
            <v>Éclair Hala Fancy 8 Pcs/Box</v>
          </cell>
        </row>
        <row r="23">
          <cell r="B23" t="str">
            <v>Éclair Hala Fancy 40 Pcs/Tray</v>
          </cell>
        </row>
        <row r="24">
          <cell r="B24" t="str">
            <v>Éclair Hala Fancy 40 Pcs/Tray + Name</v>
          </cell>
        </row>
        <row r="25">
          <cell r="B25" t="str">
            <v>Mille Feuille 8 Pcs/Box</v>
          </cell>
        </row>
        <row r="26">
          <cell r="B26" t="str">
            <v>Mille Feuille 20 Pcs/Box</v>
          </cell>
        </row>
        <row r="27">
          <cell r="B27" t="str">
            <v>Mille Feuille 60 Pcs/Tray</v>
          </cell>
        </row>
        <row r="28">
          <cell r="B28" t="str">
            <v>Mille Feuille 60 Pcs/Tray + Name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8C8B-E502-41FA-9892-7F2DD6B3D7DE}">
  <sheetPr>
    <tabColor rgb="FF00B050"/>
  </sheetPr>
  <dimension ref="B1:H55"/>
  <sheetViews>
    <sheetView showGridLines="0" zoomScaleNormal="100" workbookViewId="0">
      <selection activeCell="K23" sqref="K23"/>
    </sheetView>
  </sheetViews>
  <sheetFormatPr defaultRowHeight="14.4" x14ac:dyDescent="0.3"/>
  <cols>
    <col min="1" max="1" width="13.6640625" customWidth="1"/>
    <col min="2" max="2" width="2.44140625" style="1" customWidth="1"/>
    <col min="3" max="3" width="41.33203125" style="2" customWidth="1"/>
    <col min="4" max="4" width="3.44140625" style="3" customWidth="1"/>
    <col min="5" max="5" width="11.6640625" style="4" customWidth="1"/>
    <col min="6" max="6" width="10.5546875" style="4" bestFit="1" customWidth="1"/>
    <col min="7" max="7" width="9.88671875" style="4" customWidth="1"/>
    <col min="8" max="8" width="5.88671875" style="5" customWidth="1"/>
  </cols>
  <sheetData>
    <row r="1" spans="2:8" ht="15" thickBot="1" x14ac:dyDescent="0.35"/>
    <row r="2" spans="2:8" ht="24" thickBot="1" x14ac:dyDescent="0.5">
      <c r="B2" s="55" t="s">
        <v>0</v>
      </c>
      <c r="C2" s="56"/>
      <c r="D2" s="56"/>
      <c r="E2" s="56"/>
      <c r="F2" s="56"/>
      <c r="G2" s="57"/>
      <c r="H2" s="6"/>
    </row>
    <row r="3" spans="2:8" ht="15" thickBot="1" x14ac:dyDescent="0.35">
      <c r="B3" s="58" t="s">
        <v>1</v>
      </c>
      <c r="C3" s="56"/>
      <c r="D3" s="59"/>
      <c r="E3" s="59"/>
      <c r="F3" s="59"/>
      <c r="G3" s="60"/>
      <c r="H3" s="7"/>
    </row>
    <row r="4" spans="2:8" ht="15" thickBot="1" x14ac:dyDescent="0.35">
      <c r="B4" s="61" t="s">
        <v>2</v>
      </c>
      <c r="C4" s="62"/>
      <c r="D4" s="63"/>
      <c r="E4" s="48">
        <v>44196</v>
      </c>
      <c r="F4" s="48">
        <v>44227</v>
      </c>
      <c r="G4" s="47"/>
      <c r="H4"/>
    </row>
    <row r="5" spans="2:8" ht="15" thickBot="1" x14ac:dyDescent="0.35">
      <c r="B5" s="61" t="s">
        <v>3</v>
      </c>
      <c r="C5" s="62"/>
      <c r="D5" s="63"/>
      <c r="E5" s="8" t="s">
        <v>4</v>
      </c>
      <c r="F5" s="8" t="s">
        <v>5</v>
      </c>
      <c r="G5" s="9" t="s">
        <v>6</v>
      </c>
      <c r="H5" s="49"/>
    </row>
    <row r="6" spans="2:8" s="13" customFormat="1" ht="16.5" customHeight="1" thickBot="1" x14ac:dyDescent="0.35">
      <c r="B6" s="64"/>
      <c r="C6" s="65"/>
      <c r="D6" s="10">
        <v>90</v>
      </c>
      <c r="E6" s="11">
        <v>34.31</v>
      </c>
      <c r="F6" s="11">
        <v>36.475000000000001</v>
      </c>
      <c r="G6" s="43">
        <f>F6*D6</f>
        <v>3282.75</v>
      </c>
      <c r="H6" s="12"/>
    </row>
    <row r="7" spans="2:8" ht="14.25" customHeight="1" thickBot="1" x14ac:dyDescent="0.35">
      <c r="B7" s="52"/>
      <c r="C7" s="53"/>
      <c r="D7" s="53"/>
      <c r="E7" s="53"/>
      <c r="F7" s="53"/>
      <c r="G7" s="54"/>
      <c r="H7" s="14"/>
    </row>
    <row r="8" spans="2:8" ht="12.75" customHeight="1" thickBot="1" x14ac:dyDescent="0.35">
      <c r="B8" s="58" t="s">
        <v>7</v>
      </c>
      <c r="C8" s="69"/>
      <c r="D8" s="69"/>
      <c r="E8" s="69"/>
      <c r="F8" s="69"/>
      <c r="G8" s="70"/>
      <c r="H8" s="49"/>
    </row>
    <row r="9" spans="2:8" ht="10.5" customHeight="1" thickBot="1" x14ac:dyDescent="0.35">
      <c r="B9" s="15"/>
      <c r="C9" s="16" t="s">
        <v>8</v>
      </c>
      <c r="D9" s="16"/>
      <c r="E9" s="16" t="s">
        <v>9</v>
      </c>
      <c r="F9" s="16" t="s">
        <v>10</v>
      </c>
      <c r="G9" s="17" t="s">
        <v>6</v>
      </c>
      <c r="H9" s="49"/>
    </row>
    <row r="10" spans="2:8" x14ac:dyDescent="0.3">
      <c r="B10" s="18">
        <v>1</v>
      </c>
      <c r="C10" s="19" t="s">
        <v>11</v>
      </c>
      <c r="D10" s="20" t="s">
        <v>12</v>
      </c>
      <c r="E10" s="21">
        <v>69</v>
      </c>
      <c r="F10" s="21">
        <v>5</v>
      </c>
      <c r="G10" s="22">
        <f>E10*F10</f>
        <v>345</v>
      </c>
    </row>
    <row r="11" spans="2:8" x14ac:dyDescent="0.3">
      <c r="B11" s="23">
        <v>2</v>
      </c>
      <c r="C11" s="24" t="s">
        <v>13</v>
      </c>
      <c r="D11" s="25" t="s">
        <v>12</v>
      </c>
      <c r="E11" s="26">
        <f>5+49+55</f>
        <v>109</v>
      </c>
      <c r="F11" s="26">
        <v>6</v>
      </c>
      <c r="G11" s="27">
        <f t="shared" ref="G11:G25" si="0">E11*F11</f>
        <v>654</v>
      </c>
    </row>
    <row r="12" spans="2:8" x14ac:dyDescent="0.3">
      <c r="B12" s="23">
        <v>3</v>
      </c>
      <c r="C12" s="24" t="s">
        <v>14</v>
      </c>
      <c r="D12" s="25" t="s">
        <v>12</v>
      </c>
      <c r="E12" s="26">
        <f>7+29+32</f>
        <v>68</v>
      </c>
      <c r="F12" s="26">
        <v>4</v>
      </c>
      <c r="G12" s="27">
        <f t="shared" si="0"/>
        <v>272</v>
      </c>
    </row>
    <row r="13" spans="2:8" x14ac:dyDescent="0.3">
      <c r="B13" s="23">
        <v>4</v>
      </c>
      <c r="C13" s="24" t="s">
        <v>15</v>
      </c>
      <c r="D13" s="25" t="s">
        <v>12</v>
      </c>
      <c r="E13" s="26">
        <f>41+25</f>
        <v>66</v>
      </c>
      <c r="F13" s="26">
        <v>5</v>
      </c>
      <c r="G13" s="27">
        <f t="shared" si="0"/>
        <v>330</v>
      </c>
    </row>
    <row r="14" spans="2:8" x14ac:dyDescent="0.3">
      <c r="B14" s="23">
        <v>5</v>
      </c>
      <c r="C14" s="24" t="s">
        <v>16</v>
      </c>
      <c r="D14" s="25" t="s">
        <v>12</v>
      </c>
      <c r="E14" s="26">
        <f>7+37</f>
        <v>44</v>
      </c>
      <c r="F14" s="26">
        <v>9</v>
      </c>
      <c r="G14" s="27">
        <f t="shared" si="0"/>
        <v>396</v>
      </c>
    </row>
    <row r="15" spans="2:8" x14ac:dyDescent="0.3">
      <c r="B15" s="23">
        <v>6</v>
      </c>
      <c r="C15" s="24" t="s">
        <v>17</v>
      </c>
      <c r="D15" s="25" t="s">
        <v>12</v>
      </c>
      <c r="E15" s="26">
        <v>0</v>
      </c>
      <c r="F15" s="26">
        <v>5</v>
      </c>
      <c r="G15" s="27">
        <f t="shared" si="0"/>
        <v>0</v>
      </c>
    </row>
    <row r="16" spans="2:8" x14ac:dyDescent="0.3">
      <c r="B16" s="23">
        <v>7</v>
      </c>
      <c r="C16" s="24" t="s">
        <v>18</v>
      </c>
      <c r="D16" s="25" t="s">
        <v>12</v>
      </c>
      <c r="E16" s="26">
        <v>11</v>
      </c>
      <c r="F16" s="26">
        <v>5</v>
      </c>
      <c r="G16" s="27">
        <f t="shared" si="0"/>
        <v>55</v>
      </c>
    </row>
    <row r="17" spans="2:8" x14ac:dyDescent="0.3">
      <c r="B17" s="23">
        <v>8</v>
      </c>
      <c r="C17" s="24" t="s">
        <v>19</v>
      </c>
      <c r="D17" s="25" t="s">
        <v>12</v>
      </c>
      <c r="E17" s="26">
        <v>63</v>
      </c>
      <c r="F17" s="26">
        <v>5</v>
      </c>
      <c r="G17" s="27">
        <f t="shared" si="0"/>
        <v>315</v>
      </c>
    </row>
    <row r="18" spans="2:8" x14ac:dyDescent="0.3">
      <c r="B18" s="23">
        <v>9</v>
      </c>
      <c r="C18" s="24" t="s">
        <v>20</v>
      </c>
      <c r="D18" s="25" t="s">
        <v>12</v>
      </c>
      <c r="E18" s="26">
        <v>16</v>
      </c>
      <c r="F18" s="26">
        <v>10</v>
      </c>
      <c r="G18" s="27">
        <f t="shared" si="0"/>
        <v>160</v>
      </c>
    </row>
    <row r="19" spans="2:8" x14ac:dyDescent="0.3">
      <c r="B19" s="23">
        <v>10</v>
      </c>
      <c r="C19" s="24" t="s">
        <v>21</v>
      </c>
      <c r="D19" s="25" t="s">
        <v>12</v>
      </c>
      <c r="E19" s="26">
        <v>5</v>
      </c>
      <c r="F19" s="26">
        <v>7</v>
      </c>
      <c r="G19" s="27">
        <f t="shared" si="0"/>
        <v>35</v>
      </c>
    </row>
    <row r="20" spans="2:8" x14ac:dyDescent="0.3">
      <c r="B20" s="23">
        <v>11</v>
      </c>
      <c r="C20" s="24" t="s">
        <v>22</v>
      </c>
      <c r="D20" s="25" t="s">
        <v>12</v>
      </c>
      <c r="E20" s="26">
        <v>0</v>
      </c>
      <c r="F20" s="26">
        <v>3</v>
      </c>
      <c r="G20" s="27">
        <f t="shared" si="0"/>
        <v>0</v>
      </c>
    </row>
    <row r="21" spans="2:8" x14ac:dyDescent="0.3">
      <c r="B21" s="23">
        <v>12</v>
      </c>
      <c r="C21" s="24" t="s">
        <v>51</v>
      </c>
      <c r="D21" s="25" t="s">
        <v>24</v>
      </c>
      <c r="E21" s="26">
        <v>3</v>
      </c>
      <c r="F21" s="26">
        <v>70</v>
      </c>
      <c r="G21" s="27">
        <f t="shared" si="0"/>
        <v>210</v>
      </c>
    </row>
    <row r="22" spans="2:8" x14ac:dyDescent="0.3">
      <c r="B22" s="23">
        <v>13</v>
      </c>
      <c r="C22" s="24" t="s">
        <v>23</v>
      </c>
      <c r="D22" s="25" t="s">
        <v>24</v>
      </c>
      <c r="E22" s="26">
        <f>3.4+3.9+0.9-1.2</f>
        <v>6.9999999999999991</v>
      </c>
      <c r="F22" s="26">
        <v>200</v>
      </c>
      <c r="G22" s="27">
        <f t="shared" si="0"/>
        <v>1399.9999999999998</v>
      </c>
    </row>
    <row r="23" spans="2:8" x14ac:dyDescent="0.3">
      <c r="B23" s="23">
        <v>14</v>
      </c>
      <c r="C23" s="24" t="s">
        <v>49</v>
      </c>
      <c r="D23" s="25" t="s">
        <v>12</v>
      </c>
      <c r="E23" s="26">
        <v>2</v>
      </c>
      <c r="F23" s="26">
        <v>380</v>
      </c>
      <c r="G23" s="27">
        <f t="shared" si="0"/>
        <v>760</v>
      </c>
    </row>
    <row r="24" spans="2:8" x14ac:dyDescent="0.3">
      <c r="B24" s="23">
        <v>15</v>
      </c>
      <c r="C24" s="24" t="s">
        <v>25</v>
      </c>
      <c r="D24" s="25" t="s">
        <v>12</v>
      </c>
      <c r="E24" s="26">
        <v>2</v>
      </c>
      <c r="F24" s="26">
        <v>230</v>
      </c>
      <c r="G24" s="27">
        <f t="shared" si="0"/>
        <v>460</v>
      </c>
    </row>
    <row r="25" spans="2:8" ht="15" thickBot="1" x14ac:dyDescent="0.35">
      <c r="B25" s="23">
        <v>16</v>
      </c>
      <c r="C25" s="29" t="s">
        <v>26</v>
      </c>
      <c r="D25" s="30" t="s">
        <v>12</v>
      </c>
      <c r="E25" s="31">
        <v>1</v>
      </c>
      <c r="F25" s="31">
        <v>440</v>
      </c>
      <c r="G25" s="32">
        <f t="shared" si="0"/>
        <v>440</v>
      </c>
    </row>
    <row r="26" spans="2:8" ht="15" thickBot="1" x14ac:dyDescent="0.35">
      <c r="B26" s="33"/>
      <c r="C26" s="34"/>
      <c r="D26" s="35"/>
      <c r="E26" s="71" t="s">
        <v>27</v>
      </c>
      <c r="F26" s="71"/>
      <c r="G26" s="42">
        <f>SUM(G10:G25)</f>
        <v>5832</v>
      </c>
    </row>
    <row r="27" spans="2:8" ht="13.5" customHeight="1" thickBot="1" x14ac:dyDescent="0.35">
      <c r="B27" s="72" t="s">
        <v>28</v>
      </c>
      <c r="C27" s="73"/>
      <c r="D27" s="73"/>
      <c r="E27" s="73"/>
      <c r="F27" s="73"/>
      <c r="G27" s="74"/>
      <c r="H27" s="49"/>
    </row>
    <row r="28" spans="2:8" ht="12" customHeight="1" thickBot="1" x14ac:dyDescent="0.35">
      <c r="B28" s="75" t="s">
        <v>8</v>
      </c>
      <c r="C28" s="76"/>
      <c r="D28" s="76"/>
      <c r="E28" s="36" t="s">
        <v>9</v>
      </c>
      <c r="F28" s="36" t="s">
        <v>10</v>
      </c>
      <c r="G28" s="37" t="s">
        <v>6</v>
      </c>
      <c r="H28" s="49"/>
    </row>
    <row r="29" spans="2:8" x14ac:dyDescent="0.3">
      <c r="B29" s="18">
        <v>1</v>
      </c>
      <c r="C29" s="19" t="s">
        <v>29</v>
      </c>
      <c r="D29" s="20" t="s">
        <v>12</v>
      </c>
      <c r="E29" s="21">
        <v>1</v>
      </c>
      <c r="F29" s="21">
        <v>160</v>
      </c>
      <c r="G29" s="22">
        <f>E29*F29</f>
        <v>160</v>
      </c>
    </row>
    <row r="30" spans="2:8" x14ac:dyDescent="0.3">
      <c r="B30" s="23">
        <v>2</v>
      </c>
      <c r="C30" s="24" t="s">
        <v>30</v>
      </c>
      <c r="D30" s="25" t="s">
        <v>12</v>
      </c>
      <c r="E30" s="26">
        <v>0</v>
      </c>
      <c r="F30" s="26">
        <v>115</v>
      </c>
      <c r="G30" s="27">
        <f t="shared" ref="G30:G45" si="1">E30*F30</f>
        <v>0</v>
      </c>
    </row>
    <row r="31" spans="2:8" x14ac:dyDescent="0.3">
      <c r="B31" s="23">
        <v>3</v>
      </c>
      <c r="C31" s="24" t="s">
        <v>31</v>
      </c>
      <c r="D31" s="25" t="s">
        <v>12</v>
      </c>
      <c r="E31" s="26">
        <v>1</v>
      </c>
      <c r="F31" s="26">
        <v>160</v>
      </c>
      <c r="G31" s="27">
        <f t="shared" si="1"/>
        <v>160</v>
      </c>
    </row>
    <row r="32" spans="2:8" x14ac:dyDescent="0.3">
      <c r="B32" s="23">
        <v>4</v>
      </c>
      <c r="C32" s="24" t="s">
        <v>32</v>
      </c>
      <c r="D32" s="25" t="s">
        <v>12</v>
      </c>
      <c r="E32" s="26">
        <v>0</v>
      </c>
      <c r="F32" s="26">
        <v>160</v>
      </c>
      <c r="G32" s="27">
        <f t="shared" si="1"/>
        <v>0</v>
      </c>
    </row>
    <row r="33" spans="2:8" x14ac:dyDescent="0.3">
      <c r="B33" s="23">
        <v>5</v>
      </c>
      <c r="C33" s="24" t="s">
        <v>33</v>
      </c>
      <c r="D33" s="25" t="s">
        <v>12</v>
      </c>
      <c r="E33" s="26">
        <v>1</v>
      </c>
      <c r="F33" s="26">
        <v>160</v>
      </c>
      <c r="G33" s="27">
        <f t="shared" si="1"/>
        <v>160</v>
      </c>
    </row>
    <row r="34" spans="2:8" x14ac:dyDescent="0.3">
      <c r="B34" s="23">
        <v>6</v>
      </c>
      <c r="C34" s="24" t="s">
        <v>34</v>
      </c>
      <c r="D34" s="25" t="s">
        <v>12</v>
      </c>
      <c r="E34" s="26">
        <v>1</v>
      </c>
      <c r="F34" s="26">
        <v>115</v>
      </c>
      <c r="G34" s="27">
        <f t="shared" si="1"/>
        <v>115</v>
      </c>
    </row>
    <row r="35" spans="2:8" x14ac:dyDescent="0.3">
      <c r="B35" s="23">
        <v>7</v>
      </c>
      <c r="C35" s="24" t="s">
        <v>35</v>
      </c>
      <c r="D35" s="25" t="s">
        <v>12</v>
      </c>
      <c r="E35" s="26">
        <v>0</v>
      </c>
      <c r="F35" s="26">
        <v>115</v>
      </c>
      <c r="G35" s="27">
        <f t="shared" si="1"/>
        <v>0</v>
      </c>
    </row>
    <row r="36" spans="2:8" x14ac:dyDescent="0.3">
      <c r="B36" s="23">
        <v>8</v>
      </c>
      <c r="C36" s="24" t="s">
        <v>36</v>
      </c>
      <c r="D36" s="25" t="s">
        <v>12</v>
      </c>
      <c r="E36" s="26">
        <v>1</v>
      </c>
      <c r="F36" s="26">
        <v>160</v>
      </c>
      <c r="G36" s="27">
        <f t="shared" si="1"/>
        <v>160</v>
      </c>
    </row>
    <row r="37" spans="2:8" x14ac:dyDescent="0.3">
      <c r="B37" s="23">
        <v>9</v>
      </c>
      <c r="C37" s="24" t="s">
        <v>37</v>
      </c>
      <c r="D37" s="25" t="s">
        <v>12</v>
      </c>
      <c r="E37" s="26">
        <v>1</v>
      </c>
      <c r="F37" s="26">
        <v>115</v>
      </c>
      <c r="G37" s="27">
        <f t="shared" si="1"/>
        <v>115</v>
      </c>
    </row>
    <row r="38" spans="2:8" x14ac:dyDescent="0.3">
      <c r="B38" s="23">
        <v>10</v>
      </c>
      <c r="C38" s="24" t="s">
        <v>38</v>
      </c>
      <c r="D38" s="25" t="s">
        <v>12</v>
      </c>
      <c r="E38" s="26">
        <v>1</v>
      </c>
      <c r="F38" s="26">
        <v>160</v>
      </c>
      <c r="G38" s="27">
        <f t="shared" si="1"/>
        <v>160</v>
      </c>
    </row>
    <row r="39" spans="2:8" x14ac:dyDescent="0.3">
      <c r="B39" s="23">
        <v>11</v>
      </c>
      <c r="C39" s="24" t="s">
        <v>39</v>
      </c>
      <c r="D39" s="25" t="s">
        <v>12</v>
      </c>
      <c r="E39" s="26">
        <v>1</v>
      </c>
      <c r="F39" s="26">
        <v>160</v>
      </c>
      <c r="G39" s="27">
        <f t="shared" si="1"/>
        <v>160</v>
      </c>
    </row>
    <row r="40" spans="2:8" x14ac:dyDescent="0.3">
      <c r="B40" s="23">
        <v>12</v>
      </c>
      <c r="C40" s="24" t="s">
        <v>40</v>
      </c>
      <c r="D40" s="25" t="s">
        <v>12</v>
      </c>
      <c r="E40" s="26">
        <v>1</v>
      </c>
      <c r="F40" s="26">
        <v>160</v>
      </c>
      <c r="G40" s="27">
        <f t="shared" si="1"/>
        <v>160</v>
      </c>
    </row>
    <row r="41" spans="2:8" x14ac:dyDescent="0.3">
      <c r="B41" s="23">
        <v>13</v>
      </c>
      <c r="C41" s="24" t="s">
        <v>41</v>
      </c>
      <c r="D41" s="25" t="s">
        <v>12</v>
      </c>
      <c r="E41" s="26">
        <v>1</v>
      </c>
      <c r="F41" s="26">
        <v>180</v>
      </c>
      <c r="G41" s="27">
        <f t="shared" si="1"/>
        <v>180</v>
      </c>
    </row>
    <row r="42" spans="2:8" x14ac:dyDescent="0.3">
      <c r="B42" s="23">
        <v>14</v>
      </c>
      <c r="C42" s="24" t="s">
        <v>42</v>
      </c>
      <c r="D42" s="25" t="s">
        <v>12</v>
      </c>
      <c r="E42" s="26">
        <v>0</v>
      </c>
      <c r="F42" s="26">
        <v>180</v>
      </c>
      <c r="G42" s="27">
        <f t="shared" si="1"/>
        <v>0</v>
      </c>
    </row>
    <row r="43" spans="2:8" x14ac:dyDescent="0.3">
      <c r="B43" s="23">
        <v>15</v>
      </c>
      <c r="C43" s="24" t="s">
        <v>43</v>
      </c>
      <c r="D43" s="25" t="s">
        <v>12</v>
      </c>
      <c r="E43" s="26">
        <v>1</v>
      </c>
      <c r="F43" s="26">
        <v>180</v>
      </c>
      <c r="G43" s="27">
        <f t="shared" si="1"/>
        <v>180</v>
      </c>
    </row>
    <row r="44" spans="2:8" x14ac:dyDescent="0.3">
      <c r="B44" s="23">
        <v>16</v>
      </c>
      <c r="C44" s="44" t="s">
        <v>50</v>
      </c>
      <c r="D44" s="25" t="s">
        <v>12</v>
      </c>
      <c r="E44" s="45">
        <v>0</v>
      </c>
      <c r="F44" s="45">
        <v>180</v>
      </c>
      <c r="G44" s="46">
        <f t="shared" si="1"/>
        <v>0</v>
      </c>
    </row>
    <row r="45" spans="2:8" ht="15" thickBot="1" x14ac:dyDescent="0.35">
      <c r="B45" s="28">
        <v>17</v>
      </c>
      <c r="C45" s="29" t="s">
        <v>44</v>
      </c>
      <c r="D45" s="30" t="s">
        <v>12</v>
      </c>
      <c r="E45" s="31">
        <v>2</v>
      </c>
      <c r="F45" s="31">
        <v>120</v>
      </c>
      <c r="G45" s="32">
        <f t="shared" si="1"/>
        <v>240</v>
      </c>
    </row>
    <row r="46" spans="2:8" ht="15" thickBot="1" x14ac:dyDescent="0.35">
      <c r="B46" s="38"/>
      <c r="C46" s="39"/>
      <c r="D46" s="40"/>
      <c r="E46" s="77">
        <v>0</v>
      </c>
      <c r="F46" s="71"/>
      <c r="G46" s="42">
        <f>SUM(G29:G45)</f>
        <v>1950</v>
      </c>
    </row>
    <row r="47" spans="2:8" ht="16.2" thickBot="1" x14ac:dyDescent="0.35">
      <c r="B47" s="78" t="s">
        <v>27</v>
      </c>
      <c r="C47" s="79"/>
      <c r="D47" s="79"/>
      <c r="E47" s="80">
        <f>SUM(F49+F50)</f>
        <v>0</v>
      </c>
      <c r="F47" s="81"/>
      <c r="G47" s="82"/>
      <c r="H47" s="4"/>
    </row>
    <row r="48" spans="2:8" ht="16.2" thickBot="1" x14ac:dyDescent="0.35">
      <c r="B48" s="83" t="s">
        <v>45</v>
      </c>
      <c r="C48" s="84"/>
      <c r="D48" s="84"/>
      <c r="E48" s="84"/>
      <c r="F48" s="84"/>
      <c r="G48" s="85"/>
      <c r="H48" s="41"/>
    </row>
    <row r="49" spans="2:8" x14ac:dyDescent="0.3">
      <c r="B49" s="86" t="s">
        <v>46</v>
      </c>
      <c r="C49" s="87"/>
      <c r="D49" s="87"/>
      <c r="E49" s="87"/>
      <c r="F49" s="88">
        <v>0</v>
      </c>
      <c r="G49" s="89"/>
      <c r="H49"/>
    </row>
    <row r="50" spans="2:8" ht="15" thickBot="1" x14ac:dyDescent="0.35">
      <c r="B50" s="90" t="s">
        <v>47</v>
      </c>
      <c r="C50" s="91"/>
      <c r="D50" s="91"/>
      <c r="E50" s="91"/>
      <c r="F50" s="92">
        <v>0</v>
      </c>
      <c r="G50" s="93"/>
      <c r="H50"/>
    </row>
    <row r="51" spans="2:8" s="5" customFormat="1" ht="12" x14ac:dyDescent="0.3">
      <c r="B51" s="66"/>
      <c r="C51" s="67"/>
      <c r="D51" s="67"/>
      <c r="E51" s="67"/>
      <c r="F51" s="67"/>
      <c r="G51" s="68"/>
    </row>
    <row r="52" spans="2:8" s="5" customFormat="1" ht="12" hidden="1" x14ac:dyDescent="0.3">
      <c r="B52" s="94"/>
      <c r="C52" s="95"/>
      <c r="D52" s="95"/>
      <c r="E52" s="95"/>
      <c r="F52" s="95"/>
      <c r="G52" s="96"/>
    </row>
    <row r="53" spans="2:8" s="5" customFormat="1" ht="12" x14ac:dyDescent="0.3">
      <c r="B53" s="97"/>
      <c r="C53" s="98"/>
      <c r="D53" s="98"/>
      <c r="E53" s="98"/>
      <c r="F53" s="98"/>
      <c r="G53" s="99"/>
    </row>
    <row r="54" spans="2:8" s="5" customFormat="1" ht="12.6" thickBot="1" x14ac:dyDescent="0.35">
      <c r="B54" s="100"/>
      <c r="C54" s="101"/>
      <c r="D54" s="101"/>
      <c r="E54" s="101"/>
      <c r="F54" s="101"/>
      <c r="G54" s="102"/>
    </row>
    <row r="55" spans="2:8" ht="15" thickBot="1" x14ac:dyDescent="0.35">
      <c r="B55" s="103" t="s">
        <v>48</v>
      </c>
      <c r="C55" s="104"/>
      <c r="D55" s="104"/>
      <c r="E55" s="105"/>
      <c r="F55" s="106">
        <f>G6+G26+G46</f>
        <v>11064.75</v>
      </c>
      <c r="G55" s="107"/>
    </row>
  </sheetData>
  <mergeCells count="24">
    <mergeCell ref="B52:G52"/>
    <mergeCell ref="B53:G53"/>
    <mergeCell ref="B54:G54"/>
    <mergeCell ref="B55:E55"/>
    <mergeCell ref="F55:G55"/>
    <mergeCell ref="B51:G51"/>
    <mergeCell ref="B8:G8"/>
    <mergeCell ref="E26:F26"/>
    <mergeCell ref="B27:G27"/>
    <mergeCell ref="B28:D28"/>
    <mergeCell ref="E46:F46"/>
    <mergeCell ref="B47:D47"/>
    <mergeCell ref="E47:G47"/>
    <mergeCell ref="B48:G48"/>
    <mergeCell ref="B49:E49"/>
    <mergeCell ref="F49:G49"/>
    <mergeCell ref="B50:E50"/>
    <mergeCell ref="F50:G50"/>
    <mergeCell ref="B7:G7"/>
    <mergeCell ref="B2:G2"/>
    <mergeCell ref="B3:G3"/>
    <mergeCell ref="B4:D4"/>
    <mergeCell ref="B5:D5"/>
    <mergeCell ref="B6:C6"/>
  </mergeCells>
  <pageMargins left="0" right="0" top="0" bottom="0" header="0" footer="0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3784-F9CD-4CBF-94D2-14369D016403}">
  <sheetPr>
    <tabColor rgb="FF00B050"/>
  </sheetPr>
  <dimension ref="B1:H58"/>
  <sheetViews>
    <sheetView showGridLines="0" zoomScaleNormal="100" workbookViewId="0">
      <selection activeCell="F58" sqref="B2:G58"/>
    </sheetView>
  </sheetViews>
  <sheetFormatPr defaultRowHeight="14.4" x14ac:dyDescent="0.3"/>
  <cols>
    <col min="1" max="1" width="13.6640625" customWidth="1"/>
    <col min="2" max="2" width="2.44140625" style="1" customWidth="1"/>
    <col min="3" max="3" width="41.33203125" style="2" customWidth="1"/>
    <col min="4" max="4" width="3.44140625" style="3" customWidth="1"/>
    <col min="5" max="5" width="11.6640625" style="4" customWidth="1"/>
    <col min="6" max="6" width="10.5546875" style="4" bestFit="1" customWidth="1"/>
    <col min="7" max="7" width="9.88671875" style="4" customWidth="1"/>
    <col min="8" max="8" width="5.88671875" style="5" customWidth="1"/>
  </cols>
  <sheetData>
    <row r="1" spans="2:8" ht="15" thickBot="1" x14ac:dyDescent="0.35"/>
    <row r="2" spans="2:8" ht="24" thickBot="1" x14ac:dyDescent="0.5">
      <c r="B2" s="55" t="s">
        <v>0</v>
      </c>
      <c r="C2" s="56"/>
      <c r="D2" s="56"/>
      <c r="E2" s="56"/>
      <c r="F2" s="56"/>
      <c r="G2" s="57"/>
      <c r="H2" s="6"/>
    </row>
    <row r="3" spans="2:8" ht="15" thickBot="1" x14ac:dyDescent="0.35">
      <c r="B3" s="58" t="s">
        <v>1</v>
      </c>
      <c r="C3" s="56"/>
      <c r="D3" s="59"/>
      <c r="E3" s="59"/>
      <c r="F3" s="59"/>
      <c r="G3" s="60"/>
      <c r="H3" s="7"/>
    </row>
    <row r="4" spans="2:8" ht="15" thickBot="1" x14ac:dyDescent="0.35">
      <c r="B4" s="61" t="s">
        <v>2</v>
      </c>
      <c r="C4" s="62"/>
      <c r="D4" s="63"/>
      <c r="E4" s="48">
        <v>44227</v>
      </c>
      <c r="F4" s="48">
        <v>44257</v>
      </c>
      <c r="G4" s="47"/>
      <c r="H4"/>
    </row>
    <row r="5" spans="2:8" ht="15" thickBot="1" x14ac:dyDescent="0.35">
      <c r="B5" s="61" t="s">
        <v>3</v>
      </c>
      <c r="C5" s="62"/>
      <c r="D5" s="63"/>
      <c r="E5" s="8" t="s">
        <v>4</v>
      </c>
      <c r="F5" s="8" t="s">
        <v>5</v>
      </c>
      <c r="G5" s="9" t="s">
        <v>6</v>
      </c>
      <c r="H5" s="50"/>
    </row>
    <row r="6" spans="2:8" s="13" customFormat="1" ht="16.5" customHeight="1" thickBot="1" x14ac:dyDescent="0.35">
      <c r="B6" s="64"/>
      <c r="C6" s="65"/>
      <c r="D6" s="10">
        <v>90</v>
      </c>
      <c r="E6" s="11">
        <v>36.475000000000001</v>
      </c>
      <c r="F6" s="11">
        <v>50.255000000000003</v>
      </c>
      <c r="G6" s="43">
        <f>F6*D6</f>
        <v>4522.95</v>
      </c>
      <c r="H6" s="12"/>
    </row>
    <row r="7" spans="2:8" ht="14.25" customHeight="1" thickBot="1" x14ac:dyDescent="0.35">
      <c r="B7" s="52"/>
      <c r="C7" s="53"/>
      <c r="D7" s="53"/>
      <c r="E7" s="53"/>
      <c r="F7" s="53"/>
      <c r="G7" s="54"/>
      <c r="H7" s="14"/>
    </row>
    <row r="8" spans="2:8" ht="12.75" customHeight="1" thickBot="1" x14ac:dyDescent="0.35">
      <c r="B8" s="58" t="s">
        <v>7</v>
      </c>
      <c r="C8" s="69"/>
      <c r="D8" s="69"/>
      <c r="E8" s="69"/>
      <c r="F8" s="69"/>
      <c r="G8" s="70"/>
      <c r="H8" s="50"/>
    </row>
    <row r="9" spans="2:8" ht="10.5" customHeight="1" thickBot="1" x14ac:dyDescent="0.35">
      <c r="B9" s="15"/>
      <c r="C9" s="16" t="s">
        <v>8</v>
      </c>
      <c r="D9" s="16"/>
      <c r="E9" s="16" t="s">
        <v>9</v>
      </c>
      <c r="F9" s="16" t="s">
        <v>10</v>
      </c>
      <c r="G9" s="17" t="s">
        <v>6</v>
      </c>
      <c r="H9" s="50"/>
    </row>
    <row r="10" spans="2:8" x14ac:dyDescent="0.3">
      <c r="B10" s="18">
        <v>1</v>
      </c>
      <c r="C10" s="19" t="s">
        <v>11</v>
      </c>
      <c r="D10" s="20" t="s">
        <v>12</v>
      </c>
      <c r="E10" s="21">
        <v>100</v>
      </c>
      <c r="F10" s="21">
        <v>5</v>
      </c>
      <c r="G10" s="22">
        <f>E10*F10</f>
        <v>500</v>
      </c>
    </row>
    <row r="11" spans="2:8" x14ac:dyDescent="0.3">
      <c r="B11" s="23">
        <v>2</v>
      </c>
      <c r="C11" s="24" t="s">
        <v>13</v>
      </c>
      <c r="D11" s="25" t="s">
        <v>12</v>
      </c>
      <c r="E11" s="26">
        <v>87</v>
      </c>
      <c r="F11" s="26">
        <v>6</v>
      </c>
      <c r="G11" s="27">
        <f t="shared" ref="G11:G28" si="0">E11*F11</f>
        <v>522</v>
      </c>
    </row>
    <row r="12" spans="2:8" x14ac:dyDescent="0.3">
      <c r="B12" s="23">
        <v>3</v>
      </c>
      <c r="C12" s="24" t="s">
        <v>14</v>
      </c>
      <c r="D12" s="25" t="s">
        <v>12</v>
      </c>
      <c r="E12" s="26">
        <f>75+7</f>
        <v>82</v>
      </c>
      <c r="F12" s="26">
        <v>4</v>
      </c>
      <c r="G12" s="27">
        <f t="shared" si="0"/>
        <v>328</v>
      </c>
    </row>
    <row r="13" spans="2:8" x14ac:dyDescent="0.3">
      <c r="B13" s="23">
        <v>4</v>
      </c>
      <c r="C13" s="24" t="s">
        <v>15</v>
      </c>
      <c r="D13" s="25" t="s">
        <v>12</v>
      </c>
      <c r="E13" s="26">
        <f>57+8</f>
        <v>65</v>
      </c>
      <c r="F13" s="26">
        <v>5</v>
      </c>
      <c r="G13" s="27">
        <f t="shared" si="0"/>
        <v>325</v>
      </c>
    </row>
    <row r="14" spans="2:8" x14ac:dyDescent="0.3">
      <c r="B14" s="23">
        <v>5</v>
      </c>
      <c r="C14" s="24" t="s">
        <v>16</v>
      </c>
      <c r="D14" s="25" t="s">
        <v>12</v>
      </c>
      <c r="E14" s="26">
        <v>46</v>
      </c>
      <c r="F14" s="26">
        <v>9</v>
      </c>
      <c r="G14" s="27">
        <f t="shared" si="0"/>
        <v>414</v>
      </c>
    </row>
    <row r="15" spans="2:8" x14ac:dyDescent="0.3">
      <c r="B15" s="23">
        <v>6</v>
      </c>
      <c r="C15" s="24" t="s">
        <v>17</v>
      </c>
      <c r="D15" s="25" t="s">
        <v>12</v>
      </c>
      <c r="E15" s="26">
        <f>18+15</f>
        <v>33</v>
      </c>
      <c r="F15" s="26">
        <v>5</v>
      </c>
      <c r="G15" s="27">
        <f t="shared" si="0"/>
        <v>165</v>
      </c>
    </row>
    <row r="16" spans="2:8" x14ac:dyDescent="0.3">
      <c r="B16" s="23">
        <v>7</v>
      </c>
      <c r="C16" s="24" t="s">
        <v>18</v>
      </c>
      <c r="D16" s="25" t="s">
        <v>12</v>
      </c>
      <c r="E16" s="26">
        <f>24+17</f>
        <v>41</v>
      </c>
      <c r="F16" s="26">
        <v>5</v>
      </c>
      <c r="G16" s="27">
        <f t="shared" si="0"/>
        <v>205</v>
      </c>
    </row>
    <row r="17" spans="2:8" x14ac:dyDescent="0.3">
      <c r="B17" s="23">
        <v>8</v>
      </c>
      <c r="C17" s="24" t="s">
        <v>19</v>
      </c>
      <c r="D17" s="25" t="s">
        <v>12</v>
      </c>
      <c r="E17" s="26">
        <f>45+17+50</f>
        <v>112</v>
      </c>
      <c r="F17" s="26">
        <v>5</v>
      </c>
      <c r="G17" s="27">
        <f t="shared" si="0"/>
        <v>560</v>
      </c>
    </row>
    <row r="18" spans="2:8" x14ac:dyDescent="0.3">
      <c r="B18" s="23">
        <v>9</v>
      </c>
      <c r="C18" s="24" t="s">
        <v>20</v>
      </c>
      <c r="D18" s="25" t="s">
        <v>12</v>
      </c>
      <c r="E18" s="26">
        <f>16+14</f>
        <v>30</v>
      </c>
      <c r="F18" s="26">
        <v>10</v>
      </c>
      <c r="G18" s="27">
        <f t="shared" si="0"/>
        <v>300</v>
      </c>
    </row>
    <row r="19" spans="2:8" x14ac:dyDescent="0.3">
      <c r="B19" s="23">
        <v>10</v>
      </c>
      <c r="C19" s="24" t="s">
        <v>21</v>
      </c>
      <c r="D19" s="25" t="s">
        <v>12</v>
      </c>
      <c r="E19" s="26">
        <v>11</v>
      </c>
      <c r="F19" s="26">
        <v>7</v>
      </c>
      <c r="G19" s="27">
        <f t="shared" si="0"/>
        <v>77</v>
      </c>
    </row>
    <row r="20" spans="2:8" x14ac:dyDescent="0.3">
      <c r="B20" s="23">
        <v>11</v>
      </c>
      <c r="C20" s="24" t="s">
        <v>22</v>
      </c>
      <c r="D20" s="25" t="s">
        <v>12</v>
      </c>
      <c r="E20" s="26">
        <v>0</v>
      </c>
      <c r="F20" s="26">
        <v>3</v>
      </c>
      <c r="G20" s="27">
        <f t="shared" si="0"/>
        <v>0</v>
      </c>
    </row>
    <row r="21" spans="2:8" x14ac:dyDescent="0.3">
      <c r="B21" s="23">
        <v>12</v>
      </c>
      <c r="C21" s="24" t="s">
        <v>51</v>
      </c>
      <c r="D21" s="25" t="s">
        <v>24</v>
      </c>
      <c r="E21" s="26">
        <v>0</v>
      </c>
      <c r="F21" s="26">
        <v>70</v>
      </c>
      <c r="G21" s="27">
        <f t="shared" si="0"/>
        <v>0</v>
      </c>
    </row>
    <row r="22" spans="2:8" x14ac:dyDescent="0.3">
      <c r="B22" s="23">
        <v>13</v>
      </c>
      <c r="C22" s="24" t="s">
        <v>23</v>
      </c>
      <c r="D22" s="25" t="s">
        <v>24</v>
      </c>
      <c r="E22" s="26">
        <v>4.96</v>
      </c>
      <c r="F22" s="26">
        <v>200</v>
      </c>
      <c r="G22" s="27">
        <f t="shared" si="0"/>
        <v>992</v>
      </c>
    </row>
    <row r="23" spans="2:8" x14ac:dyDescent="0.3">
      <c r="B23" s="23">
        <v>14</v>
      </c>
      <c r="C23" s="24" t="s">
        <v>49</v>
      </c>
      <c r="D23" s="25" t="s">
        <v>12</v>
      </c>
      <c r="E23" s="26">
        <v>2</v>
      </c>
      <c r="F23" s="26">
        <v>380</v>
      </c>
      <c r="G23" s="27">
        <f t="shared" si="0"/>
        <v>760</v>
      </c>
    </row>
    <row r="24" spans="2:8" x14ac:dyDescent="0.3">
      <c r="B24" s="23">
        <v>15</v>
      </c>
      <c r="C24" s="24" t="s">
        <v>25</v>
      </c>
      <c r="D24" s="25" t="s">
        <v>12</v>
      </c>
      <c r="E24" s="26">
        <v>2</v>
      </c>
      <c r="F24" s="26">
        <v>230</v>
      </c>
      <c r="G24" s="27">
        <f t="shared" si="0"/>
        <v>460</v>
      </c>
    </row>
    <row r="25" spans="2:8" x14ac:dyDescent="0.3">
      <c r="B25" s="23">
        <v>16</v>
      </c>
      <c r="C25" s="44" t="s">
        <v>52</v>
      </c>
      <c r="D25" s="25" t="s">
        <v>12</v>
      </c>
      <c r="E25" s="45">
        <v>1</v>
      </c>
      <c r="F25" s="45">
        <v>460</v>
      </c>
      <c r="G25" s="27">
        <f t="shared" si="0"/>
        <v>460</v>
      </c>
    </row>
    <row r="26" spans="2:8" x14ac:dyDescent="0.3">
      <c r="B26" s="23">
        <v>17</v>
      </c>
      <c r="C26" s="44" t="s">
        <v>53</v>
      </c>
      <c r="D26" s="25" t="s">
        <v>12</v>
      </c>
      <c r="E26" s="45">
        <v>1</v>
      </c>
      <c r="F26" s="45">
        <v>340</v>
      </c>
      <c r="G26" s="27">
        <f t="shared" si="0"/>
        <v>340</v>
      </c>
    </row>
    <row r="27" spans="2:8" x14ac:dyDescent="0.3">
      <c r="B27" s="23">
        <v>18</v>
      </c>
      <c r="C27" s="44" t="s">
        <v>54</v>
      </c>
      <c r="D27" s="25" t="s">
        <v>12</v>
      </c>
      <c r="E27" s="45">
        <v>1</v>
      </c>
      <c r="F27" s="45">
        <v>190</v>
      </c>
      <c r="G27" s="27">
        <f t="shared" si="0"/>
        <v>190</v>
      </c>
    </row>
    <row r="28" spans="2:8" ht="15" thickBot="1" x14ac:dyDescent="0.35">
      <c r="B28" s="23">
        <v>19</v>
      </c>
      <c r="C28" s="29" t="s">
        <v>26</v>
      </c>
      <c r="D28" s="30" t="s">
        <v>12</v>
      </c>
      <c r="E28" s="31">
        <v>1</v>
      </c>
      <c r="F28" s="31">
        <v>440</v>
      </c>
      <c r="G28" s="32">
        <f t="shared" si="0"/>
        <v>440</v>
      </c>
    </row>
    <row r="29" spans="2:8" ht="15" thickBot="1" x14ac:dyDescent="0.35">
      <c r="B29" s="33"/>
      <c r="C29" s="34"/>
      <c r="D29" s="35"/>
      <c r="E29" s="71" t="s">
        <v>27</v>
      </c>
      <c r="F29" s="71"/>
      <c r="G29" s="42">
        <f>SUM(G10:G28)</f>
        <v>7038</v>
      </c>
    </row>
    <row r="30" spans="2:8" ht="13.5" customHeight="1" thickBot="1" x14ac:dyDescent="0.35">
      <c r="B30" s="72" t="s">
        <v>28</v>
      </c>
      <c r="C30" s="73"/>
      <c r="D30" s="73"/>
      <c r="E30" s="73"/>
      <c r="F30" s="73"/>
      <c r="G30" s="74"/>
      <c r="H30" s="50"/>
    </row>
    <row r="31" spans="2:8" ht="12" customHeight="1" thickBot="1" x14ac:dyDescent="0.35">
      <c r="B31" s="75" t="s">
        <v>8</v>
      </c>
      <c r="C31" s="76"/>
      <c r="D31" s="76"/>
      <c r="E31" s="36" t="s">
        <v>9</v>
      </c>
      <c r="F31" s="36" t="s">
        <v>10</v>
      </c>
      <c r="G31" s="37" t="s">
        <v>6</v>
      </c>
      <c r="H31" s="50"/>
    </row>
    <row r="32" spans="2:8" x14ac:dyDescent="0.3">
      <c r="B32" s="18">
        <v>1</v>
      </c>
      <c r="C32" s="19" t="s">
        <v>29</v>
      </c>
      <c r="D32" s="20" t="s">
        <v>12</v>
      </c>
      <c r="E32" s="21">
        <v>0</v>
      </c>
      <c r="F32" s="21">
        <v>160</v>
      </c>
      <c r="G32" s="22">
        <f>E32*F32</f>
        <v>0</v>
      </c>
    </row>
    <row r="33" spans="2:7" x14ac:dyDescent="0.3">
      <c r="B33" s="23">
        <v>2</v>
      </c>
      <c r="C33" s="24" t="s">
        <v>30</v>
      </c>
      <c r="D33" s="25" t="s">
        <v>12</v>
      </c>
      <c r="E33" s="26">
        <v>1</v>
      </c>
      <c r="F33" s="26">
        <v>115</v>
      </c>
      <c r="G33" s="27">
        <f t="shared" ref="G33:G48" si="1">E33*F33</f>
        <v>115</v>
      </c>
    </row>
    <row r="34" spans="2:7" x14ac:dyDescent="0.3">
      <c r="B34" s="23">
        <v>3</v>
      </c>
      <c r="C34" s="24" t="s">
        <v>31</v>
      </c>
      <c r="D34" s="25" t="s">
        <v>12</v>
      </c>
      <c r="E34" s="26">
        <v>2</v>
      </c>
      <c r="F34" s="26">
        <v>160</v>
      </c>
      <c r="G34" s="27">
        <f t="shared" si="1"/>
        <v>320</v>
      </c>
    </row>
    <row r="35" spans="2:7" x14ac:dyDescent="0.3">
      <c r="B35" s="23">
        <v>4</v>
      </c>
      <c r="C35" s="24" t="s">
        <v>32</v>
      </c>
      <c r="D35" s="25" t="s">
        <v>12</v>
      </c>
      <c r="E35" s="26">
        <v>0</v>
      </c>
      <c r="F35" s="26">
        <v>160</v>
      </c>
      <c r="G35" s="27">
        <f t="shared" si="1"/>
        <v>0</v>
      </c>
    </row>
    <row r="36" spans="2:7" x14ac:dyDescent="0.3">
      <c r="B36" s="23">
        <v>5</v>
      </c>
      <c r="C36" s="24" t="s">
        <v>33</v>
      </c>
      <c r="D36" s="25" t="s">
        <v>12</v>
      </c>
      <c r="E36" s="26">
        <v>2</v>
      </c>
      <c r="F36" s="26">
        <v>160</v>
      </c>
      <c r="G36" s="27">
        <f t="shared" si="1"/>
        <v>320</v>
      </c>
    </row>
    <row r="37" spans="2:7" x14ac:dyDescent="0.3">
      <c r="B37" s="23">
        <v>6</v>
      </c>
      <c r="C37" s="24" t="s">
        <v>34</v>
      </c>
      <c r="D37" s="25" t="s">
        <v>12</v>
      </c>
      <c r="E37" s="26">
        <v>1</v>
      </c>
      <c r="F37" s="26">
        <v>115</v>
      </c>
      <c r="G37" s="27">
        <f t="shared" si="1"/>
        <v>115</v>
      </c>
    </row>
    <row r="38" spans="2:7" x14ac:dyDescent="0.3">
      <c r="B38" s="23">
        <v>7</v>
      </c>
      <c r="C38" s="24" t="s">
        <v>35</v>
      </c>
      <c r="D38" s="25" t="s">
        <v>12</v>
      </c>
      <c r="E38" s="26">
        <v>0</v>
      </c>
      <c r="F38" s="26">
        <v>115</v>
      </c>
      <c r="G38" s="27">
        <f t="shared" si="1"/>
        <v>0</v>
      </c>
    </row>
    <row r="39" spans="2:7" x14ac:dyDescent="0.3">
      <c r="B39" s="23">
        <v>8</v>
      </c>
      <c r="C39" s="24" t="s">
        <v>36</v>
      </c>
      <c r="D39" s="25" t="s">
        <v>12</v>
      </c>
      <c r="E39" s="26">
        <v>2</v>
      </c>
      <c r="F39" s="26">
        <v>160</v>
      </c>
      <c r="G39" s="27">
        <f t="shared" si="1"/>
        <v>320</v>
      </c>
    </row>
    <row r="40" spans="2:7" x14ac:dyDescent="0.3">
      <c r="B40" s="23">
        <v>9</v>
      </c>
      <c r="C40" s="24" t="s">
        <v>37</v>
      </c>
      <c r="D40" s="25" t="s">
        <v>12</v>
      </c>
      <c r="E40" s="26">
        <v>1</v>
      </c>
      <c r="F40" s="26">
        <v>115</v>
      </c>
      <c r="G40" s="27">
        <f t="shared" si="1"/>
        <v>115</v>
      </c>
    </row>
    <row r="41" spans="2:7" x14ac:dyDescent="0.3">
      <c r="B41" s="23">
        <v>10</v>
      </c>
      <c r="C41" s="24" t="s">
        <v>38</v>
      </c>
      <c r="D41" s="25" t="s">
        <v>12</v>
      </c>
      <c r="E41" s="26">
        <v>1</v>
      </c>
      <c r="F41" s="26">
        <v>160</v>
      </c>
      <c r="G41" s="27">
        <f t="shared" si="1"/>
        <v>160</v>
      </c>
    </row>
    <row r="42" spans="2:7" x14ac:dyDescent="0.3">
      <c r="B42" s="23">
        <v>11</v>
      </c>
      <c r="C42" s="24" t="s">
        <v>39</v>
      </c>
      <c r="D42" s="25" t="s">
        <v>12</v>
      </c>
      <c r="E42" s="26">
        <v>0</v>
      </c>
      <c r="F42" s="26">
        <v>160</v>
      </c>
      <c r="G42" s="27">
        <f t="shared" si="1"/>
        <v>0</v>
      </c>
    </row>
    <row r="43" spans="2:7" x14ac:dyDescent="0.3">
      <c r="B43" s="23">
        <v>12</v>
      </c>
      <c r="C43" s="24" t="s">
        <v>40</v>
      </c>
      <c r="D43" s="25" t="s">
        <v>12</v>
      </c>
      <c r="E43" s="26">
        <v>1</v>
      </c>
      <c r="F43" s="26">
        <v>160</v>
      </c>
      <c r="G43" s="27">
        <f t="shared" si="1"/>
        <v>160</v>
      </c>
    </row>
    <row r="44" spans="2:7" x14ac:dyDescent="0.3">
      <c r="B44" s="23">
        <v>13</v>
      </c>
      <c r="C44" s="24" t="s">
        <v>41</v>
      </c>
      <c r="D44" s="25" t="s">
        <v>12</v>
      </c>
      <c r="E44" s="26">
        <v>1</v>
      </c>
      <c r="F44" s="26">
        <v>180</v>
      </c>
      <c r="G44" s="27">
        <f t="shared" si="1"/>
        <v>180</v>
      </c>
    </row>
    <row r="45" spans="2:7" x14ac:dyDescent="0.3">
      <c r="B45" s="23">
        <v>14</v>
      </c>
      <c r="C45" s="24" t="s">
        <v>42</v>
      </c>
      <c r="D45" s="25" t="s">
        <v>12</v>
      </c>
      <c r="E45" s="26">
        <v>2</v>
      </c>
      <c r="F45" s="26">
        <v>180</v>
      </c>
      <c r="G45" s="27">
        <f t="shared" si="1"/>
        <v>360</v>
      </c>
    </row>
    <row r="46" spans="2:7" x14ac:dyDescent="0.3">
      <c r="B46" s="23">
        <v>15</v>
      </c>
      <c r="C46" s="24" t="s">
        <v>43</v>
      </c>
      <c r="D46" s="25" t="s">
        <v>12</v>
      </c>
      <c r="E46" s="26">
        <v>1</v>
      </c>
      <c r="F46" s="26">
        <v>180</v>
      </c>
      <c r="G46" s="27">
        <f t="shared" si="1"/>
        <v>180</v>
      </c>
    </row>
    <row r="47" spans="2:7" x14ac:dyDescent="0.3">
      <c r="B47" s="23">
        <v>16</v>
      </c>
      <c r="C47" s="44" t="s">
        <v>50</v>
      </c>
      <c r="D47" s="25" t="s">
        <v>12</v>
      </c>
      <c r="E47" s="45">
        <v>0</v>
      </c>
      <c r="F47" s="45">
        <v>180</v>
      </c>
      <c r="G47" s="46">
        <f t="shared" si="1"/>
        <v>0</v>
      </c>
    </row>
    <row r="48" spans="2:7" ht="15" thickBot="1" x14ac:dyDescent="0.35">
      <c r="B48" s="28">
        <v>17</v>
      </c>
      <c r="C48" s="29" t="s">
        <v>44</v>
      </c>
      <c r="D48" s="30" t="s">
        <v>12</v>
      </c>
      <c r="E48" s="31">
        <v>3</v>
      </c>
      <c r="F48" s="31">
        <v>120</v>
      </c>
      <c r="G48" s="32">
        <f t="shared" si="1"/>
        <v>360</v>
      </c>
    </row>
    <row r="49" spans="2:8" ht="15" thickBot="1" x14ac:dyDescent="0.35">
      <c r="B49" s="38"/>
      <c r="C49" s="39"/>
      <c r="D49" s="40"/>
      <c r="E49" s="77">
        <v>0</v>
      </c>
      <c r="F49" s="71"/>
      <c r="G49" s="42">
        <f>SUM(G32:G48)</f>
        <v>2705</v>
      </c>
    </row>
    <row r="50" spans="2:8" ht="16.2" thickBot="1" x14ac:dyDescent="0.35">
      <c r="B50" s="78" t="s">
        <v>27</v>
      </c>
      <c r="C50" s="79"/>
      <c r="D50" s="79"/>
      <c r="E50" s="80">
        <f>SUM(F52+F53)</f>
        <v>0</v>
      </c>
      <c r="F50" s="81"/>
      <c r="G50" s="82"/>
      <c r="H50" s="4"/>
    </row>
    <row r="51" spans="2:8" ht="16.2" thickBot="1" x14ac:dyDescent="0.35">
      <c r="B51" s="83" t="s">
        <v>45</v>
      </c>
      <c r="C51" s="84"/>
      <c r="D51" s="84"/>
      <c r="E51" s="84"/>
      <c r="F51" s="84"/>
      <c r="G51" s="85"/>
      <c r="H51" s="41"/>
    </row>
    <row r="52" spans="2:8" x14ac:dyDescent="0.3">
      <c r="B52" s="86" t="s">
        <v>46</v>
      </c>
      <c r="C52" s="87"/>
      <c r="D52" s="87"/>
      <c r="E52" s="87"/>
      <c r="F52" s="88">
        <v>0</v>
      </c>
      <c r="G52" s="89"/>
      <c r="H52"/>
    </row>
    <row r="53" spans="2:8" ht="15" thickBot="1" x14ac:dyDescent="0.35">
      <c r="B53" s="90" t="s">
        <v>47</v>
      </c>
      <c r="C53" s="91"/>
      <c r="D53" s="91"/>
      <c r="E53" s="91"/>
      <c r="F53" s="92">
        <v>0</v>
      </c>
      <c r="G53" s="93"/>
      <c r="H53"/>
    </row>
    <row r="54" spans="2:8" s="5" customFormat="1" ht="12" x14ac:dyDescent="0.3">
      <c r="B54" s="66"/>
      <c r="C54" s="67"/>
      <c r="D54" s="67"/>
      <c r="E54" s="67"/>
      <c r="F54" s="67"/>
      <c r="G54" s="68"/>
    </row>
    <row r="55" spans="2:8" s="5" customFormat="1" ht="12" hidden="1" x14ac:dyDescent="0.3">
      <c r="B55" s="94"/>
      <c r="C55" s="95"/>
      <c r="D55" s="95"/>
      <c r="E55" s="95"/>
      <c r="F55" s="95"/>
      <c r="G55" s="96"/>
    </row>
    <row r="56" spans="2:8" s="5" customFormat="1" ht="12" x14ac:dyDescent="0.3">
      <c r="B56" s="97"/>
      <c r="C56" s="98"/>
      <c r="D56" s="98"/>
      <c r="E56" s="98"/>
      <c r="F56" s="98"/>
      <c r="G56" s="99"/>
    </row>
    <row r="57" spans="2:8" s="5" customFormat="1" ht="12.6" thickBot="1" x14ac:dyDescent="0.35">
      <c r="B57" s="100"/>
      <c r="C57" s="101"/>
      <c r="D57" s="101"/>
      <c r="E57" s="101"/>
      <c r="F57" s="101"/>
      <c r="G57" s="102"/>
    </row>
    <row r="58" spans="2:8" ht="15" thickBot="1" x14ac:dyDescent="0.35">
      <c r="B58" s="103" t="s">
        <v>48</v>
      </c>
      <c r="C58" s="104"/>
      <c r="D58" s="104"/>
      <c r="E58" s="105"/>
      <c r="F58" s="106">
        <f>G6+G29+G49</f>
        <v>14265.95</v>
      </c>
      <c r="G58" s="107"/>
    </row>
  </sheetData>
  <mergeCells count="24">
    <mergeCell ref="B7:G7"/>
    <mergeCell ref="B2:G2"/>
    <mergeCell ref="B3:G3"/>
    <mergeCell ref="B4:D4"/>
    <mergeCell ref="B5:D5"/>
    <mergeCell ref="B6:C6"/>
    <mergeCell ref="B54:G54"/>
    <mergeCell ref="B8:G8"/>
    <mergeCell ref="E29:F29"/>
    <mergeCell ref="B30:G30"/>
    <mergeCell ref="B31:D31"/>
    <mergeCell ref="E49:F49"/>
    <mergeCell ref="B50:D50"/>
    <mergeCell ref="E50:G50"/>
    <mergeCell ref="B51:G51"/>
    <mergeCell ref="B52:E52"/>
    <mergeCell ref="F52:G52"/>
    <mergeCell ref="B53:E53"/>
    <mergeCell ref="F53:G53"/>
    <mergeCell ref="B55:G55"/>
    <mergeCell ref="B56:G56"/>
    <mergeCell ref="B57:G57"/>
    <mergeCell ref="B58:E58"/>
    <mergeCell ref="F58:G58"/>
  </mergeCells>
  <pageMargins left="0" right="0" top="0" bottom="0" header="0" footer="0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8C1D-B436-4871-B9F4-38D6629F4AB9}">
  <sheetPr>
    <tabColor rgb="FF00B050"/>
  </sheetPr>
  <dimension ref="B1:H58"/>
  <sheetViews>
    <sheetView showGridLines="0" zoomScaleNormal="100" workbookViewId="0">
      <selection activeCell="L10" sqref="L10"/>
    </sheetView>
  </sheetViews>
  <sheetFormatPr defaultRowHeight="14.4" x14ac:dyDescent="0.3"/>
  <cols>
    <col min="1" max="1" width="13.6640625" customWidth="1"/>
    <col min="2" max="2" width="2.44140625" style="1" customWidth="1"/>
    <col min="3" max="3" width="41.33203125" style="2" customWidth="1"/>
    <col min="4" max="4" width="3.44140625" style="3" customWidth="1"/>
    <col min="5" max="5" width="11.6640625" style="4" customWidth="1"/>
    <col min="6" max="6" width="10.5546875" style="4" bestFit="1" customWidth="1"/>
    <col min="7" max="7" width="9.88671875" style="4" customWidth="1"/>
    <col min="8" max="8" width="5.88671875" style="5" customWidth="1"/>
  </cols>
  <sheetData>
    <row r="1" spans="2:8" ht="15" thickBot="1" x14ac:dyDescent="0.35"/>
    <row r="2" spans="2:8" ht="24" thickBot="1" x14ac:dyDescent="0.5">
      <c r="B2" s="55" t="s">
        <v>0</v>
      </c>
      <c r="C2" s="56"/>
      <c r="D2" s="56"/>
      <c r="E2" s="56"/>
      <c r="F2" s="56"/>
      <c r="G2" s="57"/>
      <c r="H2" s="6"/>
    </row>
    <row r="3" spans="2:8" ht="15" thickBot="1" x14ac:dyDescent="0.35">
      <c r="B3" s="58" t="s">
        <v>1</v>
      </c>
      <c r="C3" s="56"/>
      <c r="D3" s="59"/>
      <c r="E3" s="59"/>
      <c r="F3" s="59"/>
      <c r="G3" s="60"/>
      <c r="H3" s="7"/>
    </row>
    <row r="4" spans="2:8" ht="15" thickBot="1" x14ac:dyDescent="0.35">
      <c r="B4" s="61" t="s">
        <v>2</v>
      </c>
      <c r="C4" s="62"/>
      <c r="D4" s="63"/>
      <c r="E4" s="48">
        <v>44257</v>
      </c>
      <c r="F4" s="48">
        <v>44286</v>
      </c>
      <c r="G4" s="47"/>
      <c r="H4"/>
    </row>
    <row r="5" spans="2:8" ht="15" thickBot="1" x14ac:dyDescent="0.35">
      <c r="B5" s="61" t="s">
        <v>3</v>
      </c>
      <c r="C5" s="62"/>
      <c r="D5" s="63"/>
      <c r="E5" s="8" t="s">
        <v>4</v>
      </c>
      <c r="F5" s="8" t="s">
        <v>5</v>
      </c>
      <c r="G5" s="9" t="s">
        <v>6</v>
      </c>
      <c r="H5" s="50"/>
    </row>
    <row r="6" spans="2:8" s="13" customFormat="1" ht="16.5" customHeight="1" thickBot="1" x14ac:dyDescent="0.35">
      <c r="B6" s="64"/>
      <c r="C6" s="65"/>
      <c r="D6" s="10">
        <v>90</v>
      </c>
      <c r="E6" s="11">
        <v>50.255000000000003</v>
      </c>
      <c r="F6" s="11">
        <v>78.858000000000004</v>
      </c>
      <c r="G6" s="43">
        <f>F6*D6</f>
        <v>7097.22</v>
      </c>
      <c r="H6" s="12"/>
    </row>
    <row r="7" spans="2:8" ht="14.25" customHeight="1" thickBot="1" x14ac:dyDescent="0.35">
      <c r="B7" s="52"/>
      <c r="C7" s="53"/>
      <c r="D7" s="53"/>
      <c r="E7" s="53"/>
      <c r="F7" s="53"/>
      <c r="G7" s="54"/>
      <c r="H7" s="14"/>
    </row>
    <row r="8" spans="2:8" ht="12.75" customHeight="1" thickBot="1" x14ac:dyDescent="0.35">
      <c r="B8" s="58" t="s">
        <v>7</v>
      </c>
      <c r="C8" s="69"/>
      <c r="D8" s="69"/>
      <c r="E8" s="69"/>
      <c r="F8" s="69"/>
      <c r="G8" s="70"/>
      <c r="H8" s="50"/>
    </row>
    <row r="9" spans="2:8" ht="10.5" customHeight="1" thickBot="1" x14ac:dyDescent="0.35">
      <c r="B9" s="15"/>
      <c r="C9" s="16" t="s">
        <v>8</v>
      </c>
      <c r="D9" s="16"/>
      <c r="E9" s="16" t="s">
        <v>9</v>
      </c>
      <c r="F9" s="16" t="s">
        <v>10</v>
      </c>
      <c r="G9" s="17" t="s">
        <v>6</v>
      </c>
      <c r="H9" s="50"/>
    </row>
    <row r="10" spans="2:8" x14ac:dyDescent="0.3">
      <c r="B10" s="18">
        <v>1</v>
      </c>
      <c r="C10" s="19" t="s">
        <v>11</v>
      </c>
      <c r="D10" s="20" t="s">
        <v>12</v>
      </c>
      <c r="E10" s="21">
        <f>48+27+11</f>
        <v>86</v>
      </c>
      <c r="F10" s="21">
        <v>5</v>
      </c>
      <c r="G10" s="22">
        <f>E10*F10</f>
        <v>430</v>
      </c>
    </row>
    <row r="11" spans="2:8" x14ac:dyDescent="0.3">
      <c r="B11" s="23">
        <v>2</v>
      </c>
      <c r="C11" s="24" t="s">
        <v>13</v>
      </c>
      <c r="D11" s="25" t="s">
        <v>12</v>
      </c>
      <c r="E11" s="26">
        <v>58</v>
      </c>
      <c r="F11" s="26">
        <v>6</v>
      </c>
      <c r="G11" s="27">
        <f t="shared" ref="G11:G28" si="0">E11*F11</f>
        <v>348</v>
      </c>
    </row>
    <row r="12" spans="2:8" x14ac:dyDescent="0.3">
      <c r="B12" s="23">
        <v>3</v>
      </c>
      <c r="C12" s="24" t="s">
        <v>14</v>
      </c>
      <c r="D12" s="25" t="s">
        <v>12</v>
      </c>
      <c r="E12" s="26">
        <f>56+8</f>
        <v>64</v>
      </c>
      <c r="F12" s="26">
        <v>4</v>
      </c>
      <c r="G12" s="27">
        <f t="shared" si="0"/>
        <v>256</v>
      </c>
    </row>
    <row r="13" spans="2:8" x14ac:dyDescent="0.3">
      <c r="B13" s="23">
        <v>4</v>
      </c>
      <c r="C13" s="24" t="s">
        <v>15</v>
      </c>
      <c r="D13" s="25" t="s">
        <v>12</v>
      </c>
      <c r="E13" s="26">
        <f>67+66+51+5+7</f>
        <v>196</v>
      </c>
      <c r="F13" s="26">
        <v>5</v>
      </c>
      <c r="G13" s="27">
        <f t="shared" si="0"/>
        <v>980</v>
      </c>
    </row>
    <row r="14" spans="2:8" x14ac:dyDescent="0.3">
      <c r="B14" s="23">
        <v>5</v>
      </c>
      <c r="C14" s="24" t="s">
        <v>16</v>
      </c>
      <c r="D14" s="25" t="s">
        <v>12</v>
      </c>
      <c r="E14" s="26">
        <f>25+8</f>
        <v>33</v>
      </c>
      <c r="F14" s="26">
        <v>9</v>
      </c>
      <c r="G14" s="27">
        <f t="shared" si="0"/>
        <v>297</v>
      </c>
    </row>
    <row r="15" spans="2:8" x14ac:dyDescent="0.3">
      <c r="B15" s="23">
        <v>6</v>
      </c>
      <c r="C15" s="24" t="s">
        <v>17</v>
      </c>
      <c r="D15" s="25" t="s">
        <v>12</v>
      </c>
      <c r="E15" s="26">
        <v>4</v>
      </c>
      <c r="F15" s="26">
        <v>5</v>
      </c>
      <c r="G15" s="27">
        <f t="shared" si="0"/>
        <v>20</v>
      </c>
    </row>
    <row r="16" spans="2:8" x14ac:dyDescent="0.3">
      <c r="B16" s="23">
        <v>7</v>
      </c>
      <c r="C16" s="24" t="s">
        <v>18</v>
      </c>
      <c r="D16" s="25" t="s">
        <v>12</v>
      </c>
      <c r="E16" s="26">
        <v>31</v>
      </c>
      <c r="F16" s="26">
        <v>5</v>
      </c>
      <c r="G16" s="27">
        <f t="shared" si="0"/>
        <v>155</v>
      </c>
    </row>
    <row r="17" spans="2:8" x14ac:dyDescent="0.3">
      <c r="B17" s="23">
        <v>8</v>
      </c>
      <c r="C17" s="24" t="s">
        <v>19</v>
      </c>
      <c r="D17" s="25" t="s">
        <v>12</v>
      </c>
      <c r="E17" s="26">
        <f>9+46+20</f>
        <v>75</v>
      </c>
      <c r="F17" s="26">
        <v>5</v>
      </c>
      <c r="G17" s="27">
        <f t="shared" si="0"/>
        <v>375</v>
      </c>
    </row>
    <row r="18" spans="2:8" x14ac:dyDescent="0.3">
      <c r="B18" s="23">
        <v>9</v>
      </c>
      <c r="C18" s="24" t="s">
        <v>20</v>
      </c>
      <c r="D18" s="25" t="s">
        <v>12</v>
      </c>
      <c r="E18" s="26">
        <v>16</v>
      </c>
      <c r="F18" s="26">
        <v>10</v>
      </c>
      <c r="G18" s="27">
        <f t="shared" si="0"/>
        <v>160</v>
      </c>
    </row>
    <row r="19" spans="2:8" x14ac:dyDescent="0.3">
      <c r="B19" s="23">
        <v>10</v>
      </c>
      <c r="C19" s="24" t="s">
        <v>21</v>
      </c>
      <c r="D19" s="25" t="s">
        <v>12</v>
      </c>
      <c r="E19" s="26">
        <v>13</v>
      </c>
      <c r="F19" s="26">
        <v>7</v>
      </c>
      <c r="G19" s="27">
        <f t="shared" si="0"/>
        <v>91</v>
      </c>
    </row>
    <row r="20" spans="2:8" x14ac:dyDescent="0.3">
      <c r="B20" s="23">
        <v>11</v>
      </c>
      <c r="C20" s="24" t="s">
        <v>22</v>
      </c>
      <c r="D20" s="25" t="s">
        <v>12</v>
      </c>
      <c r="E20" s="26">
        <v>0</v>
      </c>
      <c r="F20" s="26">
        <v>3</v>
      </c>
      <c r="G20" s="27">
        <f t="shared" si="0"/>
        <v>0</v>
      </c>
    </row>
    <row r="21" spans="2:8" x14ac:dyDescent="0.3">
      <c r="B21" s="23">
        <v>12</v>
      </c>
      <c r="C21" s="24" t="s">
        <v>51</v>
      </c>
      <c r="D21" s="25" t="s">
        <v>24</v>
      </c>
      <c r="E21" s="26">
        <v>3</v>
      </c>
      <c r="F21" s="26">
        <v>70</v>
      </c>
      <c r="G21" s="27">
        <f t="shared" si="0"/>
        <v>210</v>
      </c>
    </row>
    <row r="22" spans="2:8" x14ac:dyDescent="0.3">
      <c r="B22" s="23">
        <v>13</v>
      </c>
      <c r="C22" s="24" t="s">
        <v>23</v>
      </c>
      <c r="D22" s="25" t="s">
        <v>24</v>
      </c>
      <c r="E22" s="26">
        <v>5</v>
      </c>
      <c r="F22" s="26">
        <v>200</v>
      </c>
      <c r="G22" s="27">
        <f t="shared" si="0"/>
        <v>1000</v>
      </c>
    </row>
    <row r="23" spans="2:8" x14ac:dyDescent="0.3">
      <c r="B23" s="23">
        <v>14</v>
      </c>
      <c r="C23" s="24" t="s">
        <v>49</v>
      </c>
      <c r="D23" s="25" t="s">
        <v>12</v>
      </c>
      <c r="E23" s="26">
        <v>1</v>
      </c>
      <c r="F23" s="26">
        <v>380</v>
      </c>
      <c r="G23" s="27">
        <f t="shared" si="0"/>
        <v>380</v>
      </c>
    </row>
    <row r="24" spans="2:8" x14ac:dyDescent="0.3">
      <c r="B24" s="23">
        <v>15</v>
      </c>
      <c r="C24" s="24" t="s">
        <v>25</v>
      </c>
      <c r="D24" s="25" t="s">
        <v>12</v>
      </c>
      <c r="E24" s="26">
        <v>1</v>
      </c>
      <c r="F24" s="26">
        <v>230</v>
      </c>
      <c r="G24" s="27">
        <f t="shared" si="0"/>
        <v>230</v>
      </c>
    </row>
    <row r="25" spans="2:8" x14ac:dyDescent="0.3">
      <c r="B25" s="23">
        <v>16</v>
      </c>
      <c r="C25" s="44" t="s">
        <v>52</v>
      </c>
      <c r="D25" s="25" t="s">
        <v>12</v>
      </c>
      <c r="E25" s="45">
        <v>1</v>
      </c>
      <c r="F25" s="45">
        <v>460</v>
      </c>
      <c r="G25" s="27">
        <f t="shared" si="0"/>
        <v>460</v>
      </c>
    </row>
    <row r="26" spans="2:8" x14ac:dyDescent="0.3">
      <c r="B26" s="23">
        <v>17</v>
      </c>
      <c r="C26" s="44" t="s">
        <v>53</v>
      </c>
      <c r="D26" s="25" t="s">
        <v>12</v>
      </c>
      <c r="E26" s="45">
        <v>2</v>
      </c>
      <c r="F26" s="45">
        <v>340</v>
      </c>
      <c r="G26" s="27">
        <f t="shared" si="0"/>
        <v>680</v>
      </c>
    </row>
    <row r="27" spans="2:8" x14ac:dyDescent="0.3">
      <c r="B27" s="23">
        <v>18</v>
      </c>
      <c r="C27" s="44" t="s">
        <v>54</v>
      </c>
      <c r="D27" s="25" t="s">
        <v>12</v>
      </c>
      <c r="E27" s="45">
        <v>2</v>
      </c>
      <c r="F27" s="45">
        <v>190</v>
      </c>
      <c r="G27" s="27">
        <f t="shared" si="0"/>
        <v>380</v>
      </c>
    </row>
    <row r="28" spans="2:8" ht="15" thickBot="1" x14ac:dyDescent="0.35">
      <c r="B28" s="23">
        <v>19</v>
      </c>
      <c r="C28" s="29" t="s">
        <v>26</v>
      </c>
      <c r="D28" s="30" t="s">
        <v>12</v>
      </c>
      <c r="E28" s="31">
        <v>0</v>
      </c>
      <c r="F28" s="31">
        <v>440</v>
      </c>
      <c r="G28" s="32">
        <f t="shared" si="0"/>
        <v>0</v>
      </c>
    </row>
    <row r="29" spans="2:8" ht="15" thickBot="1" x14ac:dyDescent="0.35">
      <c r="B29" s="33"/>
      <c r="C29" s="34"/>
      <c r="D29" s="35"/>
      <c r="E29" s="71" t="s">
        <v>27</v>
      </c>
      <c r="F29" s="71"/>
      <c r="G29" s="42">
        <f>SUM(G10:G28)</f>
        <v>6452</v>
      </c>
    </row>
    <row r="30" spans="2:8" ht="13.5" customHeight="1" thickBot="1" x14ac:dyDescent="0.35">
      <c r="B30" s="72" t="s">
        <v>28</v>
      </c>
      <c r="C30" s="73"/>
      <c r="D30" s="73"/>
      <c r="E30" s="73"/>
      <c r="F30" s="73"/>
      <c r="G30" s="74"/>
      <c r="H30" s="50"/>
    </row>
    <row r="31" spans="2:8" ht="12" customHeight="1" thickBot="1" x14ac:dyDescent="0.35">
      <c r="B31" s="75" t="s">
        <v>8</v>
      </c>
      <c r="C31" s="76"/>
      <c r="D31" s="76"/>
      <c r="E31" s="36" t="s">
        <v>9</v>
      </c>
      <c r="F31" s="36" t="s">
        <v>10</v>
      </c>
      <c r="G31" s="37" t="s">
        <v>6</v>
      </c>
      <c r="H31" s="50"/>
    </row>
    <row r="32" spans="2:8" x14ac:dyDescent="0.3">
      <c r="B32" s="18">
        <v>1</v>
      </c>
      <c r="C32" s="19" t="s">
        <v>29</v>
      </c>
      <c r="D32" s="20" t="s">
        <v>12</v>
      </c>
      <c r="E32" s="21">
        <v>1</v>
      </c>
      <c r="F32" s="21">
        <v>160</v>
      </c>
      <c r="G32" s="22">
        <f>E32*F32</f>
        <v>160</v>
      </c>
    </row>
    <row r="33" spans="2:7" x14ac:dyDescent="0.3">
      <c r="B33" s="23">
        <v>2</v>
      </c>
      <c r="C33" s="24" t="s">
        <v>30</v>
      </c>
      <c r="D33" s="25" t="s">
        <v>12</v>
      </c>
      <c r="E33" s="26">
        <v>2</v>
      </c>
      <c r="F33" s="26">
        <v>115</v>
      </c>
      <c r="G33" s="27">
        <f t="shared" ref="G33:G48" si="1">E33*F33</f>
        <v>230</v>
      </c>
    </row>
    <row r="34" spans="2:7" x14ac:dyDescent="0.3">
      <c r="B34" s="23">
        <v>3</v>
      </c>
      <c r="C34" s="24" t="s">
        <v>31</v>
      </c>
      <c r="D34" s="25" t="s">
        <v>12</v>
      </c>
      <c r="E34" s="26">
        <v>1</v>
      </c>
      <c r="F34" s="26">
        <v>165</v>
      </c>
      <c r="G34" s="27">
        <f t="shared" si="1"/>
        <v>165</v>
      </c>
    </row>
    <row r="35" spans="2:7" x14ac:dyDescent="0.3">
      <c r="B35" s="23">
        <v>4</v>
      </c>
      <c r="C35" s="24" t="s">
        <v>32</v>
      </c>
      <c r="D35" s="25" t="s">
        <v>12</v>
      </c>
      <c r="E35" s="26">
        <v>0</v>
      </c>
      <c r="F35" s="26">
        <v>160</v>
      </c>
      <c r="G35" s="27">
        <f t="shared" si="1"/>
        <v>0</v>
      </c>
    </row>
    <row r="36" spans="2:7" x14ac:dyDescent="0.3">
      <c r="B36" s="23">
        <v>5</v>
      </c>
      <c r="C36" s="24" t="s">
        <v>33</v>
      </c>
      <c r="D36" s="25" t="s">
        <v>12</v>
      </c>
      <c r="E36" s="26">
        <v>1</v>
      </c>
      <c r="F36" s="26">
        <v>160</v>
      </c>
      <c r="G36" s="27">
        <f t="shared" si="1"/>
        <v>160</v>
      </c>
    </row>
    <row r="37" spans="2:7" x14ac:dyDescent="0.3">
      <c r="B37" s="23">
        <v>6</v>
      </c>
      <c r="C37" s="24" t="s">
        <v>34</v>
      </c>
      <c r="D37" s="25" t="s">
        <v>12</v>
      </c>
      <c r="E37" s="26">
        <v>2</v>
      </c>
      <c r="F37" s="26">
        <v>115</v>
      </c>
      <c r="G37" s="27">
        <f t="shared" si="1"/>
        <v>230</v>
      </c>
    </row>
    <row r="38" spans="2:7" x14ac:dyDescent="0.3">
      <c r="B38" s="23">
        <v>7</v>
      </c>
      <c r="C38" s="24" t="s">
        <v>35</v>
      </c>
      <c r="D38" s="25" t="s">
        <v>12</v>
      </c>
      <c r="E38" s="26">
        <v>1</v>
      </c>
      <c r="F38" s="26">
        <v>115</v>
      </c>
      <c r="G38" s="27">
        <f t="shared" si="1"/>
        <v>115</v>
      </c>
    </row>
    <row r="39" spans="2:7" x14ac:dyDescent="0.3">
      <c r="B39" s="23">
        <v>8</v>
      </c>
      <c r="C39" s="24" t="s">
        <v>36</v>
      </c>
      <c r="D39" s="25" t="s">
        <v>12</v>
      </c>
      <c r="E39" s="26">
        <v>1</v>
      </c>
      <c r="F39" s="26">
        <v>160</v>
      </c>
      <c r="G39" s="27">
        <f t="shared" si="1"/>
        <v>160</v>
      </c>
    </row>
    <row r="40" spans="2:7" x14ac:dyDescent="0.3">
      <c r="B40" s="23">
        <v>9</v>
      </c>
      <c r="C40" s="24" t="s">
        <v>37</v>
      </c>
      <c r="D40" s="25" t="s">
        <v>12</v>
      </c>
      <c r="E40" s="26">
        <v>0</v>
      </c>
      <c r="F40" s="26">
        <v>115</v>
      </c>
      <c r="G40" s="27">
        <f t="shared" si="1"/>
        <v>0</v>
      </c>
    </row>
    <row r="41" spans="2:7" x14ac:dyDescent="0.3">
      <c r="B41" s="23">
        <v>10</v>
      </c>
      <c r="C41" s="24" t="s">
        <v>38</v>
      </c>
      <c r="D41" s="25" t="s">
        <v>12</v>
      </c>
      <c r="E41" s="26">
        <v>1</v>
      </c>
      <c r="F41" s="26">
        <v>160</v>
      </c>
      <c r="G41" s="27">
        <f t="shared" si="1"/>
        <v>160</v>
      </c>
    </row>
    <row r="42" spans="2:7" x14ac:dyDescent="0.3">
      <c r="B42" s="23">
        <v>11</v>
      </c>
      <c r="C42" s="24" t="s">
        <v>39</v>
      </c>
      <c r="D42" s="25" t="s">
        <v>12</v>
      </c>
      <c r="E42" s="26">
        <v>0</v>
      </c>
      <c r="F42" s="26">
        <v>160</v>
      </c>
      <c r="G42" s="27">
        <f t="shared" si="1"/>
        <v>0</v>
      </c>
    </row>
    <row r="43" spans="2:7" x14ac:dyDescent="0.3">
      <c r="B43" s="23">
        <v>12</v>
      </c>
      <c r="C43" s="24" t="s">
        <v>40</v>
      </c>
      <c r="D43" s="25" t="s">
        <v>12</v>
      </c>
      <c r="E43" s="26">
        <v>1</v>
      </c>
      <c r="F43" s="26">
        <v>160</v>
      </c>
      <c r="G43" s="27">
        <f t="shared" si="1"/>
        <v>160</v>
      </c>
    </row>
    <row r="44" spans="2:7" x14ac:dyDescent="0.3">
      <c r="B44" s="23">
        <v>13</v>
      </c>
      <c r="C44" s="24" t="s">
        <v>41</v>
      </c>
      <c r="D44" s="25" t="s">
        <v>12</v>
      </c>
      <c r="E44" s="26">
        <v>3</v>
      </c>
      <c r="F44" s="26">
        <v>180</v>
      </c>
      <c r="G44" s="27">
        <f t="shared" si="1"/>
        <v>540</v>
      </c>
    </row>
    <row r="45" spans="2:7" x14ac:dyDescent="0.3">
      <c r="B45" s="23">
        <v>14</v>
      </c>
      <c r="C45" s="24" t="s">
        <v>42</v>
      </c>
      <c r="D45" s="25" t="s">
        <v>12</v>
      </c>
      <c r="E45" s="26">
        <v>1</v>
      </c>
      <c r="F45" s="26">
        <v>180</v>
      </c>
      <c r="G45" s="27">
        <f t="shared" si="1"/>
        <v>180</v>
      </c>
    </row>
    <row r="46" spans="2:7" x14ac:dyDescent="0.3">
      <c r="B46" s="23">
        <v>15</v>
      </c>
      <c r="C46" s="24" t="s">
        <v>43</v>
      </c>
      <c r="D46" s="25" t="s">
        <v>12</v>
      </c>
      <c r="E46" s="26">
        <v>4</v>
      </c>
      <c r="F46" s="26">
        <v>180</v>
      </c>
      <c r="G46" s="27">
        <f t="shared" si="1"/>
        <v>720</v>
      </c>
    </row>
    <row r="47" spans="2:7" x14ac:dyDescent="0.3">
      <c r="B47" s="23">
        <v>16</v>
      </c>
      <c r="C47" s="44" t="s">
        <v>50</v>
      </c>
      <c r="D47" s="25" t="s">
        <v>12</v>
      </c>
      <c r="E47" s="45">
        <v>0</v>
      </c>
      <c r="F47" s="45">
        <v>180</v>
      </c>
      <c r="G47" s="46">
        <f t="shared" si="1"/>
        <v>0</v>
      </c>
    </row>
    <row r="48" spans="2:7" ht="15" thickBot="1" x14ac:dyDescent="0.35">
      <c r="B48" s="28">
        <v>17</v>
      </c>
      <c r="C48" s="29" t="s">
        <v>44</v>
      </c>
      <c r="D48" s="30" t="s">
        <v>12</v>
      </c>
      <c r="E48" s="31">
        <v>6</v>
      </c>
      <c r="F48" s="31">
        <v>120</v>
      </c>
      <c r="G48" s="32">
        <f t="shared" si="1"/>
        <v>720</v>
      </c>
    </row>
    <row r="49" spans="2:8" ht="15" thickBot="1" x14ac:dyDescent="0.35">
      <c r="B49" s="38"/>
      <c r="C49" s="39"/>
      <c r="D49" s="40"/>
      <c r="E49" s="77">
        <v>0</v>
      </c>
      <c r="F49" s="71"/>
      <c r="G49" s="42">
        <f>SUM(G32:G48)</f>
        <v>3700</v>
      </c>
    </row>
    <row r="50" spans="2:8" ht="16.2" thickBot="1" x14ac:dyDescent="0.35">
      <c r="B50" s="78" t="s">
        <v>27</v>
      </c>
      <c r="C50" s="79"/>
      <c r="D50" s="79"/>
      <c r="E50" s="80">
        <f>SUM(F52+F53)</f>
        <v>0</v>
      </c>
      <c r="F50" s="81"/>
      <c r="G50" s="82"/>
      <c r="H50" s="4"/>
    </row>
    <row r="51" spans="2:8" ht="16.2" thickBot="1" x14ac:dyDescent="0.35">
      <c r="B51" s="83" t="s">
        <v>45</v>
      </c>
      <c r="C51" s="84"/>
      <c r="D51" s="84"/>
      <c r="E51" s="84"/>
      <c r="F51" s="84"/>
      <c r="G51" s="85"/>
      <c r="H51" s="41"/>
    </row>
    <row r="52" spans="2:8" x14ac:dyDescent="0.3">
      <c r="B52" s="86" t="s">
        <v>46</v>
      </c>
      <c r="C52" s="87"/>
      <c r="D52" s="87"/>
      <c r="E52" s="87"/>
      <c r="F52" s="88">
        <v>0</v>
      </c>
      <c r="G52" s="89"/>
      <c r="H52"/>
    </row>
    <row r="53" spans="2:8" ht="15" thickBot="1" x14ac:dyDescent="0.35">
      <c r="B53" s="90" t="s">
        <v>47</v>
      </c>
      <c r="C53" s="91"/>
      <c r="D53" s="91"/>
      <c r="E53" s="91"/>
      <c r="F53" s="92">
        <v>0</v>
      </c>
      <c r="G53" s="93"/>
      <c r="H53"/>
    </row>
    <row r="54" spans="2:8" s="5" customFormat="1" ht="12" x14ac:dyDescent="0.3">
      <c r="B54" s="66"/>
      <c r="C54" s="67"/>
      <c r="D54" s="67"/>
      <c r="E54" s="67"/>
      <c r="F54" s="67"/>
      <c r="G54" s="68"/>
    </row>
    <row r="55" spans="2:8" s="5" customFormat="1" ht="12" hidden="1" x14ac:dyDescent="0.3">
      <c r="B55" s="94"/>
      <c r="C55" s="95"/>
      <c r="D55" s="95"/>
      <c r="E55" s="95"/>
      <c r="F55" s="95"/>
      <c r="G55" s="96"/>
    </row>
    <row r="56" spans="2:8" s="5" customFormat="1" ht="12" x14ac:dyDescent="0.3">
      <c r="B56" s="97"/>
      <c r="C56" s="98"/>
      <c r="D56" s="98"/>
      <c r="E56" s="98"/>
      <c r="F56" s="98"/>
      <c r="G56" s="99"/>
    </row>
    <row r="57" spans="2:8" s="5" customFormat="1" ht="12.6" thickBot="1" x14ac:dyDescent="0.35">
      <c r="B57" s="100"/>
      <c r="C57" s="101"/>
      <c r="D57" s="101"/>
      <c r="E57" s="101"/>
      <c r="F57" s="101"/>
      <c r="G57" s="102"/>
    </row>
    <row r="58" spans="2:8" ht="15" thickBot="1" x14ac:dyDescent="0.35">
      <c r="B58" s="103" t="s">
        <v>48</v>
      </c>
      <c r="C58" s="104"/>
      <c r="D58" s="104"/>
      <c r="E58" s="105"/>
      <c r="F58" s="106">
        <f>G6+G29+G49</f>
        <v>17249.22</v>
      </c>
      <c r="G58" s="107"/>
    </row>
  </sheetData>
  <mergeCells count="24">
    <mergeCell ref="B7:G7"/>
    <mergeCell ref="B2:G2"/>
    <mergeCell ref="B3:G3"/>
    <mergeCell ref="B4:D4"/>
    <mergeCell ref="B5:D5"/>
    <mergeCell ref="B6:C6"/>
    <mergeCell ref="B54:G54"/>
    <mergeCell ref="B8:G8"/>
    <mergeCell ref="E29:F29"/>
    <mergeCell ref="B30:G30"/>
    <mergeCell ref="B31:D31"/>
    <mergeCell ref="E49:F49"/>
    <mergeCell ref="B50:D50"/>
    <mergeCell ref="E50:G50"/>
    <mergeCell ref="B51:G51"/>
    <mergeCell ref="B52:E52"/>
    <mergeCell ref="F52:G52"/>
    <mergeCell ref="B53:E53"/>
    <mergeCell ref="F53:G53"/>
    <mergeCell ref="B55:G55"/>
    <mergeCell ref="B56:G56"/>
    <mergeCell ref="B57:G57"/>
    <mergeCell ref="B58:E58"/>
    <mergeCell ref="F58:G58"/>
  </mergeCells>
  <pageMargins left="0" right="0" top="0" bottom="0" header="0" footer="0"/>
  <pageSetup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A25A-5EBF-48B6-A823-FF8E8AFCBDA1}">
  <sheetPr>
    <tabColor rgb="FF00B050"/>
  </sheetPr>
  <dimension ref="B1:K61"/>
  <sheetViews>
    <sheetView showGridLines="0" tabSelected="1" topLeftCell="A43" zoomScaleNormal="100" workbookViewId="0">
      <selection activeCell="F61" sqref="B2:G61"/>
    </sheetView>
  </sheetViews>
  <sheetFormatPr defaultRowHeight="14.4" x14ac:dyDescent="0.3"/>
  <cols>
    <col min="1" max="1" width="13.6640625" customWidth="1"/>
    <col min="2" max="2" width="2.44140625" style="1" customWidth="1"/>
    <col min="3" max="3" width="41.33203125" style="2" customWidth="1"/>
    <col min="4" max="4" width="3.44140625" style="3" customWidth="1"/>
    <col min="5" max="5" width="11.6640625" style="4" customWidth="1"/>
    <col min="6" max="6" width="10.5546875" style="4" bestFit="1" customWidth="1"/>
    <col min="7" max="7" width="9.88671875" style="4" customWidth="1"/>
    <col min="8" max="8" width="5.88671875" style="5" customWidth="1"/>
  </cols>
  <sheetData>
    <row r="1" spans="2:8" ht="15" thickBot="1" x14ac:dyDescent="0.35"/>
    <row r="2" spans="2:8" ht="24" thickBot="1" x14ac:dyDescent="0.5">
      <c r="B2" s="55" t="s">
        <v>0</v>
      </c>
      <c r="C2" s="56"/>
      <c r="D2" s="56"/>
      <c r="E2" s="56"/>
      <c r="F2" s="56"/>
      <c r="G2" s="57"/>
      <c r="H2" s="6"/>
    </row>
    <row r="3" spans="2:8" ht="15" thickBot="1" x14ac:dyDescent="0.35">
      <c r="B3" s="58" t="s">
        <v>1</v>
      </c>
      <c r="C3" s="56"/>
      <c r="D3" s="59"/>
      <c r="E3" s="59"/>
      <c r="F3" s="59"/>
      <c r="G3" s="60"/>
      <c r="H3" s="7"/>
    </row>
    <row r="4" spans="2:8" ht="15" thickBot="1" x14ac:dyDescent="0.35">
      <c r="B4" s="61" t="s">
        <v>2</v>
      </c>
      <c r="C4" s="62"/>
      <c r="D4" s="63"/>
      <c r="E4" s="48">
        <v>44287</v>
      </c>
      <c r="F4" s="48">
        <v>44316</v>
      </c>
      <c r="G4" s="47"/>
      <c r="H4"/>
    </row>
    <row r="5" spans="2:8" ht="15" thickBot="1" x14ac:dyDescent="0.35">
      <c r="B5" s="61" t="s">
        <v>3</v>
      </c>
      <c r="C5" s="62"/>
      <c r="D5" s="63"/>
      <c r="E5" s="8" t="s">
        <v>4</v>
      </c>
      <c r="F5" s="8" t="s">
        <v>5</v>
      </c>
      <c r="G5" s="9" t="s">
        <v>6</v>
      </c>
      <c r="H5" s="51"/>
    </row>
    <row r="6" spans="2:8" s="13" customFormat="1" ht="16.5" customHeight="1" thickBot="1" x14ac:dyDescent="0.35">
      <c r="B6" s="64"/>
      <c r="C6" s="65"/>
      <c r="D6" s="10">
        <v>90</v>
      </c>
      <c r="E6" s="11">
        <v>78.858000000000004</v>
      </c>
      <c r="F6" s="11">
        <v>60</v>
      </c>
      <c r="G6" s="43">
        <f>F6*D6</f>
        <v>5400</v>
      </c>
      <c r="H6" s="12"/>
    </row>
    <row r="7" spans="2:8" ht="14.25" customHeight="1" thickBot="1" x14ac:dyDescent="0.35">
      <c r="B7" s="52"/>
      <c r="C7" s="53"/>
      <c r="D7" s="53"/>
      <c r="E7" s="53"/>
      <c r="F7" s="53"/>
      <c r="G7" s="54"/>
      <c r="H7" s="14"/>
    </row>
    <row r="8" spans="2:8" ht="12.75" customHeight="1" thickBot="1" x14ac:dyDescent="0.35">
      <c r="B8" s="58" t="s">
        <v>7</v>
      </c>
      <c r="C8" s="69"/>
      <c r="D8" s="69"/>
      <c r="E8" s="69"/>
      <c r="F8" s="69"/>
      <c r="G8" s="70"/>
      <c r="H8" s="51"/>
    </row>
    <row r="9" spans="2:8" ht="10.5" customHeight="1" thickBot="1" x14ac:dyDescent="0.35">
      <c r="B9" s="15"/>
      <c r="C9" s="16" t="s">
        <v>8</v>
      </c>
      <c r="D9" s="16"/>
      <c r="E9" s="16" t="s">
        <v>9</v>
      </c>
      <c r="F9" s="16" t="s">
        <v>10</v>
      </c>
      <c r="G9" s="17" t="s">
        <v>6</v>
      </c>
      <c r="H9" s="51"/>
    </row>
    <row r="10" spans="2:8" x14ac:dyDescent="0.3">
      <c r="B10" s="18">
        <v>1</v>
      </c>
      <c r="C10" s="19" t="s">
        <v>11</v>
      </c>
      <c r="D10" s="20" t="s">
        <v>12</v>
      </c>
      <c r="E10" s="21">
        <v>72</v>
      </c>
      <c r="F10" s="21">
        <v>5</v>
      </c>
      <c r="G10" s="22">
        <f>E10*F10</f>
        <v>360</v>
      </c>
    </row>
    <row r="11" spans="2:8" x14ac:dyDescent="0.3">
      <c r="B11" s="23">
        <v>2</v>
      </c>
      <c r="C11" s="24" t="s">
        <v>13</v>
      </c>
      <c r="D11" s="25" t="s">
        <v>12</v>
      </c>
      <c r="E11" s="26">
        <v>52</v>
      </c>
      <c r="F11" s="26">
        <v>6</v>
      </c>
      <c r="G11" s="27">
        <f t="shared" ref="G11:G30" si="0">E11*F11</f>
        <v>312</v>
      </c>
    </row>
    <row r="12" spans="2:8" x14ac:dyDescent="0.3">
      <c r="B12" s="23">
        <v>3</v>
      </c>
      <c r="C12" s="24" t="s">
        <v>14</v>
      </c>
      <c r="D12" s="25" t="s">
        <v>12</v>
      </c>
      <c r="E12" s="26">
        <f>66+8</f>
        <v>74</v>
      </c>
      <c r="F12" s="26">
        <v>4</v>
      </c>
      <c r="G12" s="27">
        <f t="shared" si="0"/>
        <v>296</v>
      </c>
    </row>
    <row r="13" spans="2:8" x14ac:dyDescent="0.3">
      <c r="B13" s="23">
        <v>4</v>
      </c>
      <c r="C13" s="24" t="s">
        <v>15</v>
      </c>
      <c r="D13" s="25" t="s">
        <v>12</v>
      </c>
      <c r="E13" s="26">
        <f>129+7</f>
        <v>136</v>
      </c>
      <c r="F13" s="26">
        <v>5</v>
      </c>
      <c r="G13" s="27">
        <f t="shared" si="0"/>
        <v>680</v>
      </c>
    </row>
    <row r="14" spans="2:8" x14ac:dyDescent="0.3">
      <c r="B14" s="23">
        <v>5</v>
      </c>
      <c r="C14" s="24" t="s">
        <v>16</v>
      </c>
      <c r="D14" s="25" t="s">
        <v>12</v>
      </c>
      <c r="E14" s="26">
        <v>20</v>
      </c>
      <c r="F14" s="26">
        <v>9</v>
      </c>
      <c r="G14" s="27">
        <f t="shared" si="0"/>
        <v>180</v>
      </c>
    </row>
    <row r="15" spans="2:8" x14ac:dyDescent="0.3">
      <c r="B15" s="23">
        <v>6</v>
      </c>
      <c r="C15" s="24" t="s">
        <v>17</v>
      </c>
      <c r="D15" s="25" t="s">
        <v>12</v>
      </c>
      <c r="E15" s="26">
        <v>2</v>
      </c>
      <c r="F15" s="26">
        <v>5</v>
      </c>
      <c r="G15" s="27">
        <f t="shared" si="0"/>
        <v>10</v>
      </c>
    </row>
    <row r="16" spans="2:8" x14ac:dyDescent="0.3">
      <c r="B16" s="23">
        <v>7</v>
      </c>
      <c r="C16" s="24" t="s">
        <v>18</v>
      </c>
      <c r="D16" s="25" t="s">
        <v>12</v>
      </c>
      <c r="E16" s="26">
        <v>21</v>
      </c>
      <c r="F16" s="26">
        <v>5</v>
      </c>
      <c r="G16" s="27">
        <f t="shared" si="0"/>
        <v>105</v>
      </c>
    </row>
    <row r="17" spans="2:8" x14ac:dyDescent="0.3">
      <c r="B17" s="23">
        <v>8</v>
      </c>
      <c r="C17" s="24" t="s">
        <v>19</v>
      </c>
      <c r="D17" s="25" t="s">
        <v>12</v>
      </c>
      <c r="E17" s="26">
        <v>51</v>
      </c>
      <c r="F17" s="26">
        <v>5</v>
      </c>
      <c r="G17" s="27">
        <f t="shared" si="0"/>
        <v>255</v>
      </c>
    </row>
    <row r="18" spans="2:8" x14ac:dyDescent="0.3">
      <c r="B18" s="23">
        <v>9</v>
      </c>
      <c r="C18" s="24" t="s">
        <v>20</v>
      </c>
      <c r="D18" s="25" t="s">
        <v>12</v>
      </c>
      <c r="E18" s="26">
        <v>10</v>
      </c>
      <c r="F18" s="26">
        <v>10</v>
      </c>
      <c r="G18" s="27">
        <f t="shared" si="0"/>
        <v>100</v>
      </c>
    </row>
    <row r="19" spans="2:8" x14ac:dyDescent="0.3">
      <c r="B19" s="23">
        <v>10</v>
      </c>
      <c r="C19" s="24" t="s">
        <v>21</v>
      </c>
      <c r="D19" s="25" t="s">
        <v>12</v>
      </c>
      <c r="E19" s="26">
        <v>10</v>
      </c>
      <c r="F19" s="26">
        <v>7</v>
      </c>
      <c r="G19" s="27">
        <f t="shared" si="0"/>
        <v>70</v>
      </c>
    </row>
    <row r="20" spans="2:8" x14ac:dyDescent="0.3">
      <c r="B20" s="23">
        <v>11</v>
      </c>
      <c r="C20" s="24" t="s">
        <v>22</v>
      </c>
      <c r="D20" s="25" t="s">
        <v>12</v>
      </c>
      <c r="E20" s="26">
        <v>0</v>
      </c>
      <c r="F20" s="26">
        <v>3</v>
      </c>
      <c r="G20" s="27">
        <f t="shared" si="0"/>
        <v>0</v>
      </c>
    </row>
    <row r="21" spans="2:8" x14ac:dyDescent="0.3">
      <c r="B21" s="23">
        <v>12</v>
      </c>
      <c r="C21" s="24" t="s">
        <v>51</v>
      </c>
      <c r="D21" s="25" t="s">
        <v>24</v>
      </c>
      <c r="E21" s="26">
        <v>1</v>
      </c>
      <c r="F21" s="26">
        <v>70</v>
      </c>
      <c r="G21" s="27">
        <f t="shared" si="0"/>
        <v>70</v>
      </c>
    </row>
    <row r="22" spans="2:8" x14ac:dyDescent="0.3">
      <c r="B22" s="23">
        <v>13</v>
      </c>
      <c r="C22" s="24" t="s">
        <v>23</v>
      </c>
      <c r="D22" s="25" t="s">
        <v>24</v>
      </c>
      <c r="E22" s="26">
        <v>4.2</v>
      </c>
      <c r="F22" s="26">
        <v>200</v>
      </c>
      <c r="G22" s="27">
        <f t="shared" si="0"/>
        <v>840</v>
      </c>
    </row>
    <row r="23" spans="2:8" x14ac:dyDescent="0.3">
      <c r="B23" s="23">
        <v>14</v>
      </c>
      <c r="C23" s="24" t="s">
        <v>49</v>
      </c>
      <c r="D23" s="25" t="s">
        <v>12</v>
      </c>
      <c r="E23" s="26">
        <v>3</v>
      </c>
      <c r="F23" s="26">
        <v>380</v>
      </c>
      <c r="G23" s="27">
        <f t="shared" si="0"/>
        <v>1140</v>
      </c>
    </row>
    <row r="24" spans="2:8" x14ac:dyDescent="0.3">
      <c r="B24" s="23">
        <v>15</v>
      </c>
      <c r="C24" s="24" t="s">
        <v>25</v>
      </c>
      <c r="D24" s="25" t="s">
        <v>12</v>
      </c>
      <c r="E24" s="26">
        <v>2</v>
      </c>
      <c r="F24" s="26">
        <v>230</v>
      </c>
      <c r="G24" s="27">
        <f t="shared" si="0"/>
        <v>460</v>
      </c>
    </row>
    <row r="25" spans="2:8" x14ac:dyDescent="0.3">
      <c r="B25" s="23">
        <v>16</v>
      </c>
      <c r="C25" s="44" t="s">
        <v>52</v>
      </c>
      <c r="D25" s="25" t="s">
        <v>12</v>
      </c>
      <c r="E25" s="45">
        <v>1</v>
      </c>
      <c r="F25" s="45">
        <v>460</v>
      </c>
      <c r="G25" s="27">
        <f t="shared" si="0"/>
        <v>460</v>
      </c>
    </row>
    <row r="26" spans="2:8" x14ac:dyDescent="0.3">
      <c r="B26" s="23">
        <v>17</v>
      </c>
      <c r="C26" s="44" t="s">
        <v>53</v>
      </c>
      <c r="D26" s="25" t="s">
        <v>12</v>
      </c>
      <c r="E26" s="45">
        <v>1</v>
      </c>
      <c r="F26" s="45">
        <v>340</v>
      </c>
      <c r="G26" s="27">
        <f t="shared" si="0"/>
        <v>340</v>
      </c>
    </row>
    <row r="27" spans="2:8" x14ac:dyDescent="0.3">
      <c r="B27" s="23">
        <v>18</v>
      </c>
      <c r="C27" s="44" t="s">
        <v>54</v>
      </c>
      <c r="D27" s="25" t="s">
        <v>12</v>
      </c>
      <c r="E27" s="45">
        <v>1</v>
      </c>
      <c r="F27" s="45">
        <v>190</v>
      </c>
      <c r="G27" s="27">
        <f t="shared" si="0"/>
        <v>190</v>
      </c>
    </row>
    <row r="28" spans="2:8" x14ac:dyDescent="0.3">
      <c r="B28" s="23">
        <v>19</v>
      </c>
      <c r="C28" s="44" t="s">
        <v>56</v>
      </c>
      <c r="D28" s="25" t="s">
        <v>12</v>
      </c>
      <c r="E28" s="45">
        <v>0</v>
      </c>
      <c r="F28" s="45">
        <v>350</v>
      </c>
      <c r="G28" s="46">
        <f t="shared" si="0"/>
        <v>0</v>
      </c>
    </row>
    <row r="29" spans="2:8" x14ac:dyDescent="0.3">
      <c r="B29" s="23">
        <v>20</v>
      </c>
      <c r="C29" s="44" t="s">
        <v>57</v>
      </c>
      <c r="D29" s="25" t="s">
        <v>12</v>
      </c>
      <c r="E29" s="45">
        <v>3</v>
      </c>
      <c r="F29" s="45">
        <v>400</v>
      </c>
      <c r="G29" s="46">
        <f t="shared" si="0"/>
        <v>1200</v>
      </c>
    </row>
    <row r="30" spans="2:8" ht="15" thickBot="1" x14ac:dyDescent="0.35">
      <c r="B30" s="23">
        <v>21</v>
      </c>
      <c r="C30" s="29" t="s">
        <v>26</v>
      </c>
      <c r="D30" s="30" t="s">
        <v>12</v>
      </c>
      <c r="E30" s="31">
        <v>1</v>
      </c>
      <c r="F30" s="31">
        <v>480</v>
      </c>
      <c r="G30" s="32">
        <f t="shared" si="0"/>
        <v>480</v>
      </c>
    </row>
    <row r="31" spans="2:8" ht="15" thickBot="1" x14ac:dyDescent="0.35">
      <c r="B31" s="33"/>
      <c r="C31" s="34"/>
      <c r="D31" s="35"/>
      <c r="E31" s="71" t="s">
        <v>27</v>
      </c>
      <c r="F31" s="71"/>
      <c r="G31" s="42">
        <f>SUM(G10:G30)</f>
        <v>7548</v>
      </c>
    </row>
    <row r="32" spans="2:8" ht="13.5" customHeight="1" thickBot="1" x14ac:dyDescent="0.35">
      <c r="B32" s="72" t="s">
        <v>28</v>
      </c>
      <c r="C32" s="73"/>
      <c r="D32" s="73"/>
      <c r="E32" s="73"/>
      <c r="F32" s="73"/>
      <c r="G32" s="74"/>
      <c r="H32" s="51"/>
    </row>
    <row r="33" spans="2:11" ht="12" customHeight="1" thickBot="1" x14ac:dyDescent="0.35">
      <c r="B33" s="75" t="s">
        <v>8</v>
      </c>
      <c r="C33" s="76"/>
      <c r="D33" s="76"/>
      <c r="E33" s="36" t="s">
        <v>9</v>
      </c>
      <c r="F33" s="36" t="s">
        <v>10</v>
      </c>
      <c r="G33" s="37" t="s">
        <v>6</v>
      </c>
      <c r="H33" s="51"/>
    </row>
    <row r="34" spans="2:11" x14ac:dyDescent="0.3">
      <c r="B34" s="18">
        <v>1</v>
      </c>
      <c r="C34" s="19" t="s">
        <v>29</v>
      </c>
      <c r="D34" s="20" t="s">
        <v>12</v>
      </c>
      <c r="E34" s="21">
        <v>1</v>
      </c>
      <c r="F34" s="21">
        <v>160</v>
      </c>
      <c r="G34" s="22">
        <f>E34*F34</f>
        <v>160</v>
      </c>
    </row>
    <row r="35" spans="2:11" s="5" customFormat="1" x14ac:dyDescent="0.3">
      <c r="B35" s="23">
        <v>2</v>
      </c>
      <c r="C35" s="24" t="s">
        <v>30</v>
      </c>
      <c r="D35" s="25" t="s">
        <v>12</v>
      </c>
      <c r="E35" s="26">
        <v>0</v>
      </c>
      <c r="F35" s="26">
        <v>115</v>
      </c>
      <c r="G35" s="27">
        <f t="shared" ref="G35:G51" si="1">E35*F35</f>
        <v>0</v>
      </c>
      <c r="I35"/>
      <c r="J35"/>
      <c r="K35"/>
    </row>
    <row r="36" spans="2:11" s="5" customFormat="1" x14ac:dyDescent="0.3">
      <c r="B36" s="23">
        <v>3</v>
      </c>
      <c r="C36" s="24" t="s">
        <v>31</v>
      </c>
      <c r="D36" s="25" t="s">
        <v>12</v>
      </c>
      <c r="E36" s="26">
        <v>1</v>
      </c>
      <c r="F36" s="26">
        <v>165</v>
      </c>
      <c r="G36" s="27">
        <f t="shared" si="1"/>
        <v>165</v>
      </c>
      <c r="I36"/>
      <c r="J36"/>
      <c r="K36"/>
    </row>
    <row r="37" spans="2:11" s="5" customFormat="1" x14ac:dyDescent="0.3">
      <c r="B37" s="23">
        <v>4</v>
      </c>
      <c r="C37" s="24" t="s">
        <v>32</v>
      </c>
      <c r="D37" s="25" t="s">
        <v>12</v>
      </c>
      <c r="E37" s="26">
        <v>0</v>
      </c>
      <c r="F37" s="26">
        <v>160</v>
      </c>
      <c r="G37" s="27">
        <f t="shared" si="1"/>
        <v>0</v>
      </c>
      <c r="I37"/>
      <c r="J37"/>
      <c r="K37"/>
    </row>
    <row r="38" spans="2:11" s="5" customFormat="1" x14ac:dyDescent="0.3">
      <c r="B38" s="23">
        <v>5</v>
      </c>
      <c r="C38" s="24" t="s">
        <v>33</v>
      </c>
      <c r="D38" s="25" t="s">
        <v>12</v>
      </c>
      <c r="E38" s="26">
        <v>1</v>
      </c>
      <c r="F38" s="26">
        <v>160</v>
      </c>
      <c r="G38" s="27">
        <f t="shared" si="1"/>
        <v>160</v>
      </c>
      <c r="I38"/>
      <c r="J38"/>
      <c r="K38"/>
    </row>
    <row r="39" spans="2:11" s="5" customFormat="1" x14ac:dyDescent="0.3">
      <c r="B39" s="23">
        <v>6</v>
      </c>
      <c r="C39" s="24" t="s">
        <v>34</v>
      </c>
      <c r="D39" s="25" t="s">
        <v>12</v>
      </c>
      <c r="E39" s="26">
        <v>1</v>
      </c>
      <c r="F39" s="26">
        <v>115</v>
      </c>
      <c r="G39" s="27">
        <f t="shared" si="1"/>
        <v>115</v>
      </c>
      <c r="I39"/>
      <c r="J39"/>
      <c r="K39"/>
    </row>
    <row r="40" spans="2:11" s="5" customFormat="1" x14ac:dyDescent="0.3">
      <c r="B40" s="23">
        <v>7</v>
      </c>
      <c r="C40" s="24" t="s">
        <v>35</v>
      </c>
      <c r="D40" s="25" t="s">
        <v>12</v>
      </c>
      <c r="E40" s="26">
        <v>0</v>
      </c>
      <c r="F40" s="26">
        <v>115</v>
      </c>
      <c r="G40" s="27">
        <f t="shared" si="1"/>
        <v>0</v>
      </c>
      <c r="I40"/>
      <c r="J40"/>
      <c r="K40"/>
    </row>
    <row r="41" spans="2:11" s="5" customFormat="1" x14ac:dyDescent="0.3">
      <c r="B41" s="23">
        <v>8</v>
      </c>
      <c r="C41" s="24" t="s">
        <v>36</v>
      </c>
      <c r="D41" s="25" t="s">
        <v>12</v>
      </c>
      <c r="E41" s="26">
        <v>2</v>
      </c>
      <c r="F41" s="26">
        <v>160</v>
      </c>
      <c r="G41" s="27">
        <f t="shared" si="1"/>
        <v>320</v>
      </c>
      <c r="I41"/>
      <c r="J41"/>
      <c r="K41"/>
    </row>
    <row r="42" spans="2:11" s="5" customFormat="1" x14ac:dyDescent="0.3">
      <c r="B42" s="23">
        <v>9</v>
      </c>
      <c r="C42" s="24" t="s">
        <v>37</v>
      </c>
      <c r="D42" s="25" t="s">
        <v>12</v>
      </c>
      <c r="E42" s="26">
        <v>0</v>
      </c>
      <c r="F42" s="26">
        <v>115</v>
      </c>
      <c r="G42" s="27">
        <f t="shared" si="1"/>
        <v>0</v>
      </c>
      <c r="I42"/>
      <c r="J42"/>
      <c r="K42"/>
    </row>
    <row r="43" spans="2:11" s="5" customFormat="1" x14ac:dyDescent="0.3">
      <c r="B43" s="23">
        <v>10</v>
      </c>
      <c r="C43" s="24" t="s">
        <v>38</v>
      </c>
      <c r="D43" s="25" t="s">
        <v>12</v>
      </c>
      <c r="E43" s="26">
        <v>1</v>
      </c>
      <c r="F43" s="26">
        <v>160</v>
      </c>
      <c r="G43" s="27">
        <f t="shared" si="1"/>
        <v>160</v>
      </c>
      <c r="I43"/>
      <c r="J43"/>
      <c r="K43"/>
    </row>
    <row r="44" spans="2:11" s="5" customFormat="1" x14ac:dyDescent="0.3">
      <c r="B44" s="23">
        <v>11</v>
      </c>
      <c r="C44" s="24" t="s">
        <v>39</v>
      </c>
      <c r="D44" s="25" t="s">
        <v>12</v>
      </c>
      <c r="E44" s="26">
        <v>1</v>
      </c>
      <c r="F44" s="26">
        <v>160</v>
      </c>
      <c r="G44" s="27">
        <f t="shared" si="1"/>
        <v>160</v>
      </c>
      <c r="I44"/>
      <c r="J44"/>
      <c r="K44"/>
    </row>
    <row r="45" spans="2:11" s="5" customFormat="1" x14ac:dyDescent="0.3">
      <c r="B45" s="23">
        <v>12</v>
      </c>
      <c r="C45" s="24" t="s">
        <v>40</v>
      </c>
      <c r="D45" s="25" t="s">
        <v>12</v>
      </c>
      <c r="E45" s="26">
        <v>1</v>
      </c>
      <c r="F45" s="26">
        <v>160</v>
      </c>
      <c r="G45" s="27">
        <f t="shared" si="1"/>
        <v>160</v>
      </c>
      <c r="I45"/>
      <c r="J45"/>
      <c r="K45"/>
    </row>
    <row r="46" spans="2:11" s="5" customFormat="1" x14ac:dyDescent="0.3">
      <c r="B46" s="23">
        <v>13</v>
      </c>
      <c r="C46" s="24" t="s">
        <v>41</v>
      </c>
      <c r="D46" s="25" t="s">
        <v>12</v>
      </c>
      <c r="E46" s="26">
        <v>2</v>
      </c>
      <c r="F46" s="26">
        <v>180</v>
      </c>
      <c r="G46" s="27">
        <f t="shared" si="1"/>
        <v>360</v>
      </c>
      <c r="I46"/>
      <c r="J46"/>
      <c r="K46"/>
    </row>
    <row r="47" spans="2:11" s="5" customFormat="1" x14ac:dyDescent="0.3">
      <c r="B47" s="23">
        <v>14</v>
      </c>
      <c r="C47" s="24" t="s">
        <v>42</v>
      </c>
      <c r="D47" s="25" t="s">
        <v>12</v>
      </c>
      <c r="E47" s="26">
        <v>2</v>
      </c>
      <c r="F47" s="26">
        <v>180</v>
      </c>
      <c r="G47" s="27">
        <f t="shared" si="1"/>
        <v>360</v>
      </c>
      <c r="I47"/>
      <c r="J47"/>
      <c r="K47"/>
    </row>
    <row r="48" spans="2:11" s="5" customFormat="1" x14ac:dyDescent="0.3">
      <c r="B48" s="23">
        <v>15</v>
      </c>
      <c r="C48" s="24" t="s">
        <v>43</v>
      </c>
      <c r="D48" s="25" t="s">
        <v>12</v>
      </c>
      <c r="E48" s="26">
        <v>2</v>
      </c>
      <c r="F48" s="26">
        <v>180</v>
      </c>
      <c r="G48" s="27">
        <f t="shared" si="1"/>
        <v>360</v>
      </c>
      <c r="I48"/>
      <c r="J48"/>
      <c r="K48"/>
    </row>
    <row r="49" spans="2:8" s="5" customFormat="1" ht="12" x14ac:dyDescent="0.25">
      <c r="B49" s="23">
        <v>16</v>
      </c>
      <c r="C49" s="44" t="s">
        <v>50</v>
      </c>
      <c r="D49" s="25" t="s">
        <v>12</v>
      </c>
      <c r="E49" s="45">
        <v>0</v>
      </c>
      <c r="F49" s="45">
        <v>180</v>
      </c>
      <c r="G49" s="46">
        <f t="shared" si="1"/>
        <v>0</v>
      </c>
    </row>
    <row r="50" spans="2:8" s="5" customFormat="1" ht="12" x14ac:dyDescent="0.25">
      <c r="B50" s="23">
        <v>17</v>
      </c>
      <c r="C50" s="44" t="s">
        <v>55</v>
      </c>
      <c r="D50" s="25" t="s">
        <v>12</v>
      </c>
      <c r="E50" s="45">
        <v>9</v>
      </c>
      <c r="F50" s="45">
        <v>140</v>
      </c>
      <c r="G50" s="46">
        <f t="shared" si="1"/>
        <v>1260</v>
      </c>
    </row>
    <row r="51" spans="2:8" s="5" customFormat="1" ht="12.6" thickBot="1" x14ac:dyDescent="0.3">
      <c r="B51" s="23">
        <v>18</v>
      </c>
      <c r="C51" s="29" t="s">
        <v>44</v>
      </c>
      <c r="D51" s="30" t="s">
        <v>12</v>
      </c>
      <c r="E51" s="31">
        <v>3</v>
      </c>
      <c r="F51" s="31">
        <v>120</v>
      </c>
      <c r="G51" s="32">
        <f t="shared" si="1"/>
        <v>360</v>
      </c>
    </row>
    <row r="52" spans="2:8" ht="15" thickBot="1" x14ac:dyDescent="0.35">
      <c r="B52" s="38"/>
      <c r="C52" s="39"/>
      <c r="D52" s="40"/>
      <c r="E52" s="77">
        <v>0</v>
      </c>
      <c r="F52" s="71"/>
      <c r="G52" s="42">
        <f>SUM(G34:G51)</f>
        <v>4100</v>
      </c>
    </row>
    <row r="53" spans="2:8" ht="16.2" thickBot="1" x14ac:dyDescent="0.35">
      <c r="B53" s="78" t="s">
        <v>27</v>
      </c>
      <c r="C53" s="79"/>
      <c r="D53" s="79"/>
      <c r="E53" s="80">
        <f>SUM(F55+F56)</f>
        <v>0</v>
      </c>
      <c r="F53" s="81"/>
      <c r="G53" s="82"/>
      <c r="H53" s="4"/>
    </row>
    <row r="54" spans="2:8" ht="16.2" thickBot="1" x14ac:dyDescent="0.35">
      <c r="B54" s="83" t="s">
        <v>45</v>
      </c>
      <c r="C54" s="84"/>
      <c r="D54" s="84"/>
      <c r="E54" s="84"/>
      <c r="F54" s="84"/>
      <c r="G54" s="85"/>
      <c r="H54" s="41"/>
    </row>
    <row r="55" spans="2:8" x14ac:dyDescent="0.3">
      <c r="B55" s="86" t="s">
        <v>46</v>
      </c>
      <c r="C55" s="87"/>
      <c r="D55" s="87"/>
      <c r="E55" s="87"/>
      <c r="F55" s="88">
        <v>0</v>
      </c>
      <c r="G55" s="89"/>
      <c r="H55"/>
    </row>
    <row r="56" spans="2:8" ht="15" thickBot="1" x14ac:dyDescent="0.35">
      <c r="B56" s="90" t="s">
        <v>47</v>
      </c>
      <c r="C56" s="91"/>
      <c r="D56" s="91"/>
      <c r="E56" s="91"/>
      <c r="F56" s="92">
        <v>0</v>
      </c>
      <c r="G56" s="93"/>
      <c r="H56"/>
    </row>
    <row r="57" spans="2:8" s="5" customFormat="1" ht="12" x14ac:dyDescent="0.3">
      <c r="B57" s="66"/>
      <c r="C57" s="67"/>
      <c r="D57" s="67"/>
      <c r="E57" s="67"/>
      <c r="F57" s="67"/>
      <c r="G57" s="68"/>
    </row>
    <row r="58" spans="2:8" s="5" customFormat="1" ht="12" hidden="1" x14ac:dyDescent="0.3">
      <c r="B58" s="94"/>
      <c r="C58" s="95"/>
      <c r="D58" s="95"/>
      <c r="E58" s="95"/>
      <c r="F58" s="95"/>
      <c r="G58" s="96"/>
    </row>
    <row r="59" spans="2:8" s="5" customFormat="1" ht="12" x14ac:dyDescent="0.3">
      <c r="B59" s="97"/>
      <c r="C59" s="98"/>
      <c r="D59" s="98"/>
      <c r="E59" s="98"/>
      <c r="F59" s="98"/>
      <c r="G59" s="99"/>
    </row>
    <row r="60" spans="2:8" s="5" customFormat="1" ht="12.6" thickBot="1" x14ac:dyDescent="0.35">
      <c r="B60" s="100"/>
      <c r="C60" s="101"/>
      <c r="D60" s="101"/>
      <c r="E60" s="101"/>
      <c r="F60" s="101"/>
      <c r="G60" s="102"/>
    </row>
    <row r="61" spans="2:8" ht="15" thickBot="1" x14ac:dyDescent="0.35">
      <c r="B61" s="103" t="s">
        <v>48</v>
      </c>
      <c r="C61" s="104"/>
      <c r="D61" s="104"/>
      <c r="E61" s="105"/>
      <c r="F61" s="106">
        <f>G6+G31+G52</f>
        <v>17048</v>
      </c>
      <c r="G61" s="107"/>
    </row>
  </sheetData>
  <mergeCells count="24">
    <mergeCell ref="B58:G58"/>
    <mergeCell ref="B59:G59"/>
    <mergeCell ref="B60:G60"/>
    <mergeCell ref="B61:E61"/>
    <mergeCell ref="F61:G61"/>
    <mergeCell ref="B54:G54"/>
    <mergeCell ref="B55:E55"/>
    <mergeCell ref="F55:G55"/>
    <mergeCell ref="B56:E56"/>
    <mergeCell ref="F56:G56"/>
    <mergeCell ref="B57:G57"/>
    <mergeCell ref="B8:G8"/>
    <mergeCell ref="E31:F31"/>
    <mergeCell ref="B32:G32"/>
    <mergeCell ref="B33:D33"/>
    <mergeCell ref="E52:F52"/>
    <mergeCell ref="B53:D53"/>
    <mergeCell ref="E53:G53"/>
    <mergeCell ref="B2:G2"/>
    <mergeCell ref="B3:G3"/>
    <mergeCell ref="B4:D4"/>
    <mergeCell ref="B5:D5"/>
    <mergeCell ref="B6:C6"/>
    <mergeCell ref="B7:G7"/>
  </mergeCells>
  <pageMargins left="0" right="0" top="0" bottom="0" header="0" footer="0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</vt:lpstr>
      <vt:lpstr>FEB</vt:lpstr>
      <vt:lpstr>MAR</vt:lpstr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</dc:creator>
  <cp:lastModifiedBy>Black Alien</cp:lastModifiedBy>
  <cp:lastPrinted>2020-11-16T12:09:34Z</cp:lastPrinted>
  <dcterms:created xsi:type="dcterms:W3CDTF">2020-09-05T20:41:22Z</dcterms:created>
  <dcterms:modified xsi:type="dcterms:W3CDTF">2021-05-03T04:13:06Z</dcterms:modified>
</cp:coreProperties>
</file>